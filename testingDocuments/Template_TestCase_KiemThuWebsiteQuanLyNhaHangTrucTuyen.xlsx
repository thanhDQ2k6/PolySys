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TS00629_DuongQuangVinh\"/>
    </mc:Choice>
  </mc:AlternateContent>
  <xr:revisionPtr revIDLastSave="0" documentId="13_ncr:1_{051B2964-D095-4F0F-93B6-5B15FAEA7572}" xr6:coauthVersionLast="47" xr6:coauthVersionMax="47" xr10:uidLastSave="{00000000-0000-0000-0000-000000000000}"/>
  <bookViews>
    <workbookView xWindow="-108" yWindow="-108" windowWidth="23256" windowHeight="12720" tabRatio="821" xr2:uid="{00000000-000D-0000-FFFF-FFFF00000000}"/>
  </bookViews>
  <sheets>
    <sheet name="Cover" sheetId="97" r:id="rId1"/>
    <sheet name="Export all carrier choices" sheetId="122" r:id="rId2"/>
    <sheet name="Test Report" sheetId="107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22" l="1"/>
  <c r="D8" i="107" s="1"/>
  <c r="D10" i="107" s="1"/>
  <c r="B7" i="122"/>
  <c r="E8" i="107" s="1"/>
  <c r="E10" i="107" s="1"/>
  <c r="D6" i="122"/>
  <c r="F8" i="107" s="1"/>
  <c r="F10" i="107" s="1"/>
  <c r="C8" i="107"/>
  <c r="E13" i="107"/>
  <c r="A23" i="122"/>
  <c r="D7" i="122"/>
  <c r="G8" i="107"/>
  <c r="G10" i="107"/>
  <c r="E12" i="107"/>
</calcChain>
</file>

<file path=xl/sharedStrings.xml><?xml version="1.0" encoding="utf-8"?>
<sst xmlns="http://schemas.openxmlformats.org/spreadsheetml/2006/main" count="490" uniqueCount="355">
  <si>
    <t>TEST CASE</t>
  </si>
  <si>
    <t>Version:</t>
  </si>
  <si>
    <t>Issue date:</t>
  </si>
  <si>
    <t>31/07/2007</t>
  </si>
  <si>
    <t>Project Name:</t>
  </si>
  <si>
    <t>Project Code:</t>
  </si>
  <si>
    <t>UTEHY-SE01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</si>
  <si>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</si>
  <si>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</si>
  <si>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</si>
  <si>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</si>
  <si>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</si>
  <si>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</si>
  <si>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</si>
  <si>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</si>
  <si>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1.0</t>
  </si>
  <si>
    <t>First creation</t>
  </si>
  <si>
    <t>John Doe</t>
  </si>
  <si>
    <t>CR236 "Export all carrier choices"</t>
  </si>
  <si>
    <t>1.1</t>
  </si>
  <si>
    <t>Update testcase</t>
  </si>
  <si>
    <t>Jane Doe</t>
  </si>
  <si>
    <t>1.2</t>
  </si>
  <si>
    <t>Test Leader 01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</si>
  <si>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</si>
  <si>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</si>
  <si>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CR100 - Export to excel</t>
  </si>
  <si>
    <t>Test requirement:</t>
  </si>
  <si>
    <t xml:space="preserve">CR1 - 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</si>
  <si>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</si>
  <si>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</si>
  <si>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</si>
  <si>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</si>
  <si>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</si>
  <si>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</si>
  <si>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</si>
  <si>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Output</t>
  </si>
  <si>
    <t>Test date</t>
  </si>
  <si>
    <t>Result</t>
  </si>
  <si>
    <t>Note</t>
  </si>
  <si>
    <t>1. Tính năng đăng nhập</t>
  </si>
  <si>
    <t>TC1</t>
  </si>
  <si>
    <t>Đăng nhập đúng email và mật khẩu</t>
  </si>
  <si>
    <t xml:space="preserve">1: Nhập email &lt;abc@gmail.com&gt;
2: Nhập password &lt;abc1234&gt;
</t>
  </si>
  <si>
    <t>Sau khi nhấn nút, báo đăng nhập thành công và về trang chủ với ảnh tài khoản đã đăng nhập</t>
  </si>
  <si>
    <t>TC2</t>
  </si>
  <si>
    <t>Đăng nhập sai email và đúng mật khẩu</t>
  </si>
  <si>
    <t xml:space="preserve">1: Nhập email &lt;ab@gmail.com&gt;
2: Nhập password &lt;abc1234&gt;
</t>
  </si>
  <si>
    <t>Sau khi nhấn nút, báo sai email hoặc mật khẩu</t>
  </si>
  <si>
    <t>TC3</t>
  </si>
  <si>
    <t xml:space="preserve">1: Nhập email &lt;abc@gmail.com&gt;
2: Nhập password &lt;abc124&gt;
</t>
  </si>
  <si>
    <t>TC4</t>
  </si>
  <si>
    <t>Đăng nhập thiếu email và password</t>
  </si>
  <si>
    <t>1: Nhấn đăng nhập, không nhập gì cả</t>
  </si>
  <si>
    <t>Sau khi đăng nhập, báo email và password bị thiếu</t>
  </si>
  <si>
    <t>TC5</t>
  </si>
  <si>
    <t>Đăng nhập có email và thiếu password</t>
  </si>
  <si>
    <t xml:space="preserve">1: Nhập email &lt;ab@gmail.com&gt;
2: Nhấn đăng nhập
</t>
  </si>
  <si>
    <t>Sau khi nhấn, báo thiếu password</t>
  </si>
  <si>
    <t>TC6</t>
  </si>
  <si>
    <t>Đăng nhập thiếu email và có password</t>
  </si>
  <si>
    <t xml:space="preserve">1: Nhập password &lt;abc1234&gt;
2: Nhấn đăng nhập
</t>
  </si>
  <si>
    <t>Sau khi nhấn, báo thiếu email</t>
  </si>
  <si>
    <t>TC7</t>
  </si>
  <si>
    <t>Đăng nhập đúng email và sai mật khẩu</t>
  </si>
  <si>
    <t>TC8</t>
  </si>
  <si>
    <t>Đăng nhập bằng gmail</t>
  </si>
  <si>
    <t>1: Nhấn đăng nhập bằng google
2: Thao tác nhập email và password bên google
3: Nhấn đăng nhập</t>
  </si>
  <si>
    <t>2. Tính năng tạo tài khoản</t>
  </si>
  <si>
    <t>TC9</t>
  </si>
  <si>
    <t>Tạo tài khoản bằng gmail</t>
  </si>
  <si>
    <t>1: Nhấn đăng ký bằng google
2: Thao tác nhập email và password bên google
3: Nhấn đăng ký
4: Nhập bổ sung mật khẩu &lt;abc1234&gt;
5: Nhập lại mật khẩu &lt;abc1234&gt;
6: Nhấn tiếp tục
7: Nhập tên người dùng &lt;Lê Văn Đực&gt;
8: Nhập ngày / tháng / năm sinh: (13/06/1992)
9: Nhấn tạo tài khoản</t>
  </si>
  <si>
    <t>Sau khi nhấn nút tạo tài khoản, báo đăng nhập thành công, chuyển trang sang màn hình đăng nhập và hiện yêu cầu đăng nhập lại</t>
  </si>
  <si>
    <t>Tạo tài khoản bằng gmail nhưng bỏ trống nhập lại mật khẩu</t>
  </si>
  <si>
    <t xml:space="preserve">1: Nhấn đăng ký bằng google
2: Thao tác nhập email và password bên google
3: Nhấn đăng ký
4: Nhập bổ sung mật khẩu &lt;abc1234&gt;
5: Nhấn tiếp tục
</t>
  </si>
  <si>
    <t>Sau khi nhấn nút tiếp tục, báo không được để trống nhập lại mật khẩu</t>
  </si>
  <si>
    <t>TC11</t>
  </si>
  <si>
    <t>Tạo tài khoản bằng gmail nhưng bỏ trống bổ sung mật khẩu</t>
  </si>
  <si>
    <t xml:space="preserve">1: Nhấn đăng ký bằng google
2: Thao tác nhập email và password bên google
3: Nhấn đăng ký
4: Nhập lại mật khẩu &lt;abc1234&gt;
5: Nhấn tiếp tục
</t>
  </si>
  <si>
    <t>Sau khi nhấn nút tiếp tục, báo không được để trống mật khẩu</t>
  </si>
  <si>
    <t>TC12</t>
  </si>
  <si>
    <t>Tạo tài khoản bằng gmail nhưng bỏ trống bổ sung mật khẩu và mật khẩu</t>
  </si>
  <si>
    <t>1: Nhấn đăng ký bằng google
2: Thao tác nhập email và password bên google
3: Nhấn đăng ký
4: Nhấn tiếp tục</t>
  </si>
  <si>
    <t>Sau khi nhấn nút tiếp tục, báo mật khẩu phải được bổ sung</t>
  </si>
  <si>
    <t>TC13</t>
  </si>
  <si>
    <t>Tạo tài khoản bằng gmail nhưng bỏ trống họ tên</t>
  </si>
  <si>
    <t>1: Nhấn đăng ký bằng google
2: Thao tác nhập email và password bên google
3: Nhấn đăng ký
4: Nhập bổ sung mật khẩu &lt;abc1234&gt;
5: Nhập lại mật khẩu &lt;abc1234&gt;
6: Nhấn tiếp tục
7: Nhập ngày / tháng / năm sinh: (13/06/1992)
8: Nhấn tạo tài khoản</t>
  </si>
  <si>
    <t xml:space="preserve">Sau khi nhấn nút tạo tài khoản, báo mục họ tên không được bỏ trống </t>
  </si>
  <si>
    <t>TC14</t>
  </si>
  <si>
    <t>Tạo tài khoản bằng gmail nhưng bỏ trống ngày tháng năm</t>
  </si>
  <si>
    <t>1: Nhấn đăng ký bằng google
2: Thao tác nhập email và password bên google
3: Nhấn đăng ký
4: Nhập bổ sung mật khẩu &lt;abc1234&gt;
5: Nhập lại mật khẩu &lt;abc1234&gt;
6: Nhấn tiếp tục
7: Nhập tên người dùng &lt;Lê Văn Đực&gt;
8: Nhấn tạo tài khoản</t>
  </si>
  <si>
    <t xml:space="preserve">Sau khi nhấn nút tạo tài khoản, báo mục ngày tháng năm được bỏ trống </t>
  </si>
  <si>
    <t>TC15</t>
  </si>
  <si>
    <t>Tạo tài khoản bằng gmail nhưng chỉ nhập 1 từ ở mục họ tên</t>
  </si>
  <si>
    <t>1: Nhấn đăng ký bằng google
2: Thao tác nhập email và password bên google
3: Nhấn đăng ký
4: Nhập bổ sung mật khẩu &lt;abc1234&gt;
5: Nhập lại mật khẩu &lt;abc1234&gt;
6: Nhấn tiếp tục
7: Nhập tên người dùng &lt;L&gt;
8: Nhập ngày / tháng / năm sinh: (13/06/1992)
9: Nhấn tạo tài khoản</t>
  </si>
  <si>
    <t>Sau khi nhấn nút tạo tài khoản, báo họ tên bắt buộc phải từ 2 ký tự</t>
  </si>
  <si>
    <t>TC16</t>
  </si>
  <si>
    <t>Tạo tài khoản bằng gmail nhưng chỉ nhập 2 từ ở mục họ tên</t>
  </si>
  <si>
    <t>1: Nhấn đăng ký bằng google
2: Thao tác nhập email và password bên google
3: Nhấn đăng ký
4: Nhập bổ sung mật khẩu &lt;abc1234&gt;
5: Nhập lại mật khẩu &lt;abc1234&gt;
6: Nhấn tiếp tục
7: Nhập tên người dùng &lt;Lê&gt;
8: Nhập ngày / tháng / năm sinh: (13/06/1992)
9: Nhấn tạo tài khoản</t>
  </si>
  <si>
    <t>TC17</t>
  </si>
  <si>
    <t>Tạo tài khoản bằng gmail nhưng chỉ nhập ngày</t>
  </si>
  <si>
    <t>1: Nhấn đăng nhập bằng google
2: Thao tác nhập email và password bên google
3: Nhấn đăng ký
4: Nhập bổ sung mật khẩu &lt;abc1234&gt;
5: Nhập lại mật khẩu &lt;abc1234&gt;
6: Nhấn tiếp tục
7: Nhập tên người dùng &lt;Lê&gt;
8: Nhập ngày (13)
9: Nhấn tạo tài khoản</t>
  </si>
  <si>
    <t>Sau khi nhấn nút tạo tài khoản, báo ngày tháng năm phải được nhập đầy đủ</t>
  </si>
  <si>
    <t>TC18</t>
  </si>
  <si>
    <t>Tạo tài khoản bằng gmail nhưng chỉ nhập năm</t>
  </si>
  <si>
    <t>1: Nhấn đăng nhập bằng google
2: Thao tác nhập email và password bên google
3: Nhấn đăng ký
4: Nhập bổ sung mật khẩu &lt;abc1234&gt;
5: Nhập lại mật khẩu &lt;abc1234&gt;
6: Nhấn tiếp tục
7: Nhập tên người dùng &lt;Lê&gt;
8: Nhập năm (2000)
9: Nhấn tạo tài khoản</t>
  </si>
  <si>
    <t>TC19</t>
  </si>
  <si>
    <t>Tạo tài khoản bằng gmail nhưng chỉ nhập tháng và năm</t>
  </si>
  <si>
    <t>1: Nhấn đăng nhập bằng google
2: Thao tác nhập email và password bên google
3: Nhấn đăng ký
4: Nhập bổ sung mật khẩu &lt;abc1234&gt;
5: Nhập lại mật khẩu &lt;abc1234&gt;
6: Nhấn tiếp tục
7: Nhập tên người dùng &lt;Lê&gt;
8: Nhập tháng và năm (06/2000)
9: Nhấn tạo tài khoản</t>
  </si>
  <si>
    <t>TC20</t>
  </si>
  <si>
    <t>Tạo tài khoản bằng gmail nhưng không nhập ngày tháng năm</t>
  </si>
  <si>
    <t>1: Nhấn đăng ký bằng google
2: Thao tác nhập email và password bên google
3: Nhấn đăng ký
4: Nhập bổ sung mật khẩu &lt;abc1234&gt;
5: Nhập lại mật khẩu &lt;abc1234&gt;
6: Nhấn tiếp tục
7: Nhập tên người dùng &lt;Lê&gt;
8: Không nhập ngày tháng năm
9: Nhấn tạo tài khoản</t>
  </si>
  <si>
    <t>TC21</t>
  </si>
  <si>
    <t>Tạo tài khoản email thông thường, nhập đầy đủ phần mật khẩu, họ tên và ngày tháng năm sinh</t>
  </si>
  <si>
    <t>1: Nhấn đăng ký 
2: Nhập email &lt;abc123@hotmail.com&gt;
3: Nhấn tiếp tục
4: Nhập mã xác nhận đã gửi qua mail &lt;111222&gt;
4: Nhập bổ sung mật khẩu &lt;abc1234&gt;
5: Nhập lại mật khẩu &lt;abc1234&gt;
6: Nhấn tiếp tục
7: Nhập tên người dùng &lt;Lê Văn Đực&gt;
8: Nhập ngày (13/06/2000)
9: Nhấn tạo tài khoản</t>
  </si>
  <si>
    <t>Tạo tài khoản email thông thường, nhập sai phần địa chỉ email</t>
  </si>
  <si>
    <t xml:space="preserve">1: Nhấn đăng ký 
2: Nhập email &lt;abc123&gt;
3: Nhấn tiếp tục
</t>
  </si>
  <si>
    <t>Sau khi nhấn nút tiếp tục, báo email phải theo hình thức :"example@mail.com"</t>
  </si>
  <si>
    <t>Tạo tài khoản email thông thường, để trống email</t>
  </si>
  <si>
    <t xml:space="preserve">1: Nhấn đăng ký 
2: Nhấn tiếp tục
</t>
  </si>
  <si>
    <t>Sau khi nhấn nút tiếp tục, báo email không được để trống và phải theo hình thức :"example@mail.com"</t>
  </si>
  <si>
    <t>TC22</t>
  </si>
  <si>
    <t>Tạo tài khoản email thông thường, nhập email không tồn tại</t>
  </si>
  <si>
    <t xml:space="preserve">1: Nhấn đăng ký 
2: Nhập email &lt;abc@gmail.com&gt;
3: Nhấn tiếp tục
</t>
  </si>
  <si>
    <t>Sau khi nhấn nút tiếp tục, báo địa chỉ email không tồn tại</t>
  </si>
  <si>
    <t>TC23</t>
  </si>
  <si>
    <t>Tạo tài khoản email thông thường, nhập đúng email nhưng nhập sai mã xác nhận</t>
  </si>
  <si>
    <t xml:space="preserve">1: Nhấn đăng ký 
2: Nhập email &lt;abc@gmail.com&gt;
3: Nhấn tiếp tục
4: Nhập mã xác nhận &lt;113234&gt;
5: Nhấn tiếp tục
</t>
  </si>
  <si>
    <t>Sau khi nhấn nút tiếp tục, báo sai mã xác nhận</t>
  </si>
  <si>
    <t>Tạo tài khoản email thông thường, nhập đúng email để trống mã xác nhận</t>
  </si>
  <si>
    <t xml:space="preserve">1: Nhấn đăng ký 
2: Nhập email &lt;abc@gmail.com&gt;
3: Nhấn tiếp tục
4: Để trống mã xác nhận
5: Nhấn tiếp tục
</t>
  </si>
  <si>
    <t>Sau khi nhấn nút tiếp tục, báo mã xác nhận không được để trống</t>
  </si>
  <si>
    <t>Tạo tài khoản email thông thường, nhập đúng email, nhấn gửi lại mã xác nhận và nhập đúng mã mới</t>
  </si>
  <si>
    <t xml:space="preserve">1: Nhấn đăng ký 
2: Nhập email &lt;abc@gmail.com&gt;
3: Nhấn tiếp tục
4: Nhấn gửi lại mã xác nhận
5: Nhập mã xác nhận mới &lt;332211&gt;
5: Nhấn tiếp tục
</t>
  </si>
  <si>
    <t>Sau khi nhấn nút tiếp tục, chuyển đến trang tiếp theo</t>
  </si>
  <si>
    <t>3: Tính Năng Giỏ Hàng</t>
  </si>
  <si>
    <t>TC-001</t>
  </si>
  <si>
    <t xml:space="preserve"> Hủy đơn hàng thành công</t>
  </si>
  <si>
    <t>1.Đăng nhập hệ thống.
2.Truy cập "Đơn hàng của tôi".
3.Chọn đơn hàng có trạng thái "Chờ xử lý".
4.Nhấn "Hủy đơn hàng".
5.Xác nhận thao tác.</t>
  </si>
  <si>
    <t>Hiển thị thông báo "Đã hủy đơn hàng thành công", trạng thái chuyển thành "Đã hủy".</t>
  </si>
  <si>
    <t>TC-002</t>
  </si>
  <si>
    <t xml:space="preserve"> Hiển thị thông báo xác nhận hủy</t>
  </si>
  <si>
    <t>1.Truy cập "Đơn hàng của tôi".
2.Nhấn "Hủy đơn hàng".</t>
  </si>
  <si>
    <t xml:space="preserve">Hệ thống hiển thị hộp thoại xác nhận có nút Đồng ý và Hủy.
</t>
  </si>
  <si>
    <t>TC-003</t>
  </si>
  <si>
    <t xml:space="preserve"> Hủy đơn hàng và kiểm tra lịch sử đơn</t>
  </si>
  <si>
    <t>1.Hủy đơn hàng như TC-CART-001.
2.Truy cập lại danh sách đơn hàng.</t>
  </si>
  <si>
    <t xml:space="preserve"> Đơn hàng vẫn xuất hiện trong danh sách với trạng thái "Đã hủy".
</t>
  </si>
  <si>
    <t>TC-004</t>
  </si>
  <si>
    <t xml:space="preserve"> Hủy đơn hàng đã giao</t>
  </si>
  <si>
    <t>1.Truy cập đơn hàng đã giao.
2.Nhấn "Hủy đơn hàng".</t>
  </si>
  <si>
    <t xml:space="preserve">Hệ thống hiển thị lỗi "Không thể hủy đơn hàng đã giao".
</t>
  </si>
  <si>
    <t>TC-005</t>
  </si>
  <si>
    <t xml:space="preserve"> Hủy đơn hàng khi chưa đăng nhập</t>
  </si>
  <si>
    <t>1.Truy cập giỏ hàng mà chưa đăng nhập.
2.Nhấn "Hủy đơn hàng".</t>
  </si>
  <si>
    <t>Hệ thống chuyển hướng sang trang đăng nhập.</t>
  </si>
  <si>
    <t>TC-006</t>
  </si>
  <si>
    <t xml:space="preserve"> Hủy đơn hàng lỗi server</t>
  </si>
  <si>
    <t>1.Thực hiện hủy đơn như bình thường.
2.Mô phỏng lỗi server hoặc mất kết nối.</t>
  </si>
  <si>
    <t xml:space="preserve">Hệ thống hiển thị lỗi: "Không thể hủy đơn hàng. Vui lòng thử lại sau".
</t>
  </si>
  <si>
    <t>TC-007</t>
  </si>
  <si>
    <t xml:space="preserve"> Đặt hàng thành công</t>
  </si>
  <si>
    <t>1.Đăng nhập.
2.Vào giỏ hàng → nhấn "Thanh toán".
3.Nhập địa chỉ và xác nhận.</t>
  </si>
  <si>
    <t>Hiển thị "Đặt hàng thành công", chuyển đến trang xác nhận.</t>
  </si>
  <si>
    <t>TC-008</t>
  </si>
  <si>
    <t xml:space="preserve"> Hiển thị thông tin đơn hàng sau khi đặt</t>
  </si>
  <si>
    <t>1.Hoàn tất đặt hàng.
2.Truy cập "Đơn hàng của tôi".</t>
  </si>
  <si>
    <t>Đơn hàng mới xuất hiện trong danh sách.</t>
  </si>
  <si>
    <t>TC-009</t>
  </si>
  <si>
    <t xml:space="preserve"> Kiểm tra email xác nhận đơn hàng</t>
  </si>
  <si>
    <t>1.Thực hiện đặt hàng.
2.Kiểm tra email người dùng.</t>
  </si>
  <si>
    <t>Nhận email xác nhận đầy đủ thông tin đơn hàng.</t>
  </si>
  <si>
    <t>TC-010</t>
  </si>
  <si>
    <t xml:space="preserve"> Đặt hàng khi giỏ trống</t>
  </si>
  <si>
    <t>1.Vào giỏ hàng rỗng.
2.Nhấn "Thanh toán".</t>
  </si>
  <si>
    <t>Thông báo lỗi "Không có sản phẩm để đặt hàng".</t>
  </si>
  <si>
    <t>TC-011</t>
  </si>
  <si>
    <t xml:space="preserve"> Đặt hàng không nhập địa chỉ giao hàng</t>
  </si>
  <si>
    <t>1.Chọn thanh toán.
2.Bỏ trống địa chỉ.</t>
  </si>
  <si>
    <t>Hệ thống báo lỗi: "Vui lòng nhập địa chỉ giao hàng".</t>
  </si>
  <si>
    <t>TC-012</t>
  </si>
  <si>
    <t xml:space="preserve"> Lỗi đặt hàng do sản phẩm hết hàng</t>
  </si>
  <si>
    <t>1.Thêm sản phẩm vào giỏ.
2.Mô phỏng hết hàng.
3.Thực hiện đặt hàng.</t>
  </si>
  <si>
    <t xml:space="preserve">Báo lỗi "Sản phẩm XYZ đã hết hàng".
</t>
  </si>
  <si>
    <t>TC-013</t>
  </si>
  <si>
    <t xml:space="preserve"> Đặt hàng khi chưa đăng nhập</t>
  </si>
  <si>
    <t>1.Thêm sản phẩm vào giỏ.
2.Nhấn thanh toán khi chưa đăng nhập.</t>
  </si>
  <si>
    <t>Hệ thống yêu cầu đăng nhập.</t>
  </si>
  <si>
    <t>4: Tính Năng Thanh Toán</t>
  </si>
  <si>
    <t>Thanh toán tiền mặt với 0 đơn hàng</t>
  </si>
  <si>
    <t>1. Chọn phương thức tiền mặt.
2. Thêm 0 đơn hàng.
3. Xác nhận.</t>
  </si>
  <si>
    <t>Hiển thị thông báo số lượng không hợp lệ.</t>
  </si>
  <si>
    <t>Thanh toán tiền mặt với 1 đơn hàng</t>
  </si>
  <si>
    <t>1. Chọn phương thức tiền mặt.
2. Thêm 1 đơn hàng.
3. Xác nhận.</t>
  </si>
  <si>
    <t>Đơn hàng được xác nhận thành công.</t>
  </si>
  <si>
    <t>Thanh toán tiền mặt với 100 đơn hàng</t>
  </si>
  <si>
    <t>1. Chọn phương thức tiền mặt.
2. Thêm 100 đơn hàng.
3. Xác nhận.</t>
  </si>
  <si>
    <t>Thanh toán tiền mặt với 101 đơn hàng</t>
  </si>
  <si>
    <t>1. Chọn phương thức tiền mặt.
2. Thêm 101 đơn hàng.
3. Xác nhận.</t>
  </si>
  <si>
    <t>Hiển thị thông báo vượt giới hạn.</t>
  </si>
  <si>
    <t>Thanh toán ví điện tử với số dư thiếu</t>
  </si>
  <si>
    <t>1. Kết nối ví.
2. Số dư 99.999 VNĐ.
3. Thanh toán 100.000 VNĐ.</t>
  </si>
  <si>
    <t>Hiển thị thông báo số dư không đủ.</t>
  </si>
  <si>
    <t>Thanh toán ví điện tử với số dư vừa đủ</t>
  </si>
  <si>
    <t>1. Kết nối ví.
2. Số dư 100.000 VNĐ.
3. Thanh toán 100.000 VNĐ.</t>
  </si>
  <si>
    <t>Thanh toán thành công.</t>
  </si>
  <si>
    <t>Thanh toán ví điện tử với số dư vượt</t>
  </si>
  <si>
    <t>1. Kết nối ví.
2. Số dư 100.001 VNĐ.
3. Thanh toán 100.000 VNĐ.</t>
  </si>
  <si>
    <t>Thanh toán ví điện tử với số dư lớn</t>
  </si>
  <si>
    <t>1. Kết nối ví.
2. Số dư 200.000 VNĐ.
3. Thanh toán 100.000 VNĐ.</t>
  </si>
  <si>
    <t>Thanh toán thẻ tín dụng độ dài 14 ký tự</t>
  </si>
  <si>
    <t>1. Nhập thẻ 14 ký tự.
2. Thanh toán.</t>
  </si>
  <si>
    <t>Hiển thị thông báo độ dài không hợp lệ.</t>
  </si>
  <si>
    <t>TC10</t>
  </si>
  <si>
    <t>Thanh toán thẻ tín dụng độ dài 15 ký tự</t>
  </si>
  <si>
    <t>1. Nhập thẻ 15 ký tự hợp lệ.
2. Thanh toán.</t>
  </si>
  <si>
    <t>Thanh toán thẻ tín dụng độ dài 16 ký tự</t>
  </si>
  <si>
    <t>1. Nhập thẻ 16 ký tự hợp lệ.
2. Thanh toán.</t>
  </si>
  <si>
    <t>Thanh toán thẻ tín dụng độ dài 17 ký tự</t>
  </si>
  <si>
    <t>1. Nhập thẻ 17 ký tự hợp lệ.
2. Thanh toán.</t>
  </si>
  <si>
    <t>Thanh toán thẻ tín dụng độ dài 18 ký tự</t>
  </si>
  <si>
    <t>1. Nhập thẻ 18 ký tự.
2. Thanh toán.</t>
  </si>
  <si>
    <t>Thanh toán thẻ tín dụng hết hạn hôm qua</t>
  </si>
  <si>
    <t>1. Nhập thẻ hợp lệ.
2. Ngày hết hạn hôm qua.
3. Thanh toán.</t>
  </si>
  <si>
    <t>Hiển thị thông báo thẻ hết hạn.</t>
  </si>
  <si>
    <t>Thanh toán thẻ tín dụng hết hạn hôm nay</t>
  </si>
  <si>
    <t>1. Nhập thẻ hợp lệ.
2. Ngày hết hạn hôm nay (xx/yy/zzzz).
3. Thanh toán.</t>
  </si>
  <si>
    <t>Thanh toán thẻ tín dụng hết hạn ngày mai</t>
  </si>
  <si>
    <t>1. Nhập thẻ hợp lệ.
2. Ngày hết hạn xx/yy/zzzz.
3. Thanh toán.</t>
  </si>
  <si>
    <t>Thanh toán thẻ tín dụng hết hạn 1 năm sau</t>
  </si>
  <si>
    <t>5. Tính năng đăng xuất</t>
  </si>
  <si>
    <t>Đăng xuất thành công với tài khoản email</t>
  </si>
  <si>
    <t>1. Đăng nhập vào hệ thống với tài khoản email hợp lệ.
2. Nhấn vào nút "Đăng xuất" trên giao diện.
3. Xác nhận chuyển hướng về trang đăng nhập.</t>
  </si>
  <si>
    <t>Người dùng được chuyển hướng về trang đăng nhập và không còn truy cập được các chức năng đã đăng nhập.</t>
  </si>
  <si>
    <t>14/06/2025</t>
  </si>
  <si>
    <t>Đăng xuất thành công với tài khoản Google</t>
  </si>
  <si>
    <t>1. Đăng nhập vào hệ thống bằng tài khoản Google.
2. Nhấn vào nút "Đăng xuất" trên giao diện.
3. Xác nhận chuyển hướng về trang đăng nhập.</t>
  </si>
  <si>
    <t>14/06/2026</t>
  </si>
  <si>
    <t>Kiểm tra bảo mật sau khi đăng xuất</t>
  </si>
  <si>
    <t>1. Đăng nhập vào hệ thống.
2. Nhấn vào nút "Đăng xuất".
3. Thử truy cập trực tiếp vào một trang đã đăng nhập (ví dụ: trang giỏ hàng) mà không đăng nhập lại.</t>
  </si>
  <si>
    <t>Hệ thống yêu cầu đăng nhập lại và từ chối truy cập vào các trang bảo mật.</t>
  </si>
  <si>
    <t>14/06/2027</t>
  </si>
  <si>
    <t>Đăng xuất trong phiên làm việc nhiều tab</t>
  </si>
  <si>
    <t>1. Mở hai tab trình duyệt, đăng nhập trên cả hai tab.
2. Thực hiện đăng xuất trên một tab.
3. Kiểm tra trạng thái đăng nhập trên tab còn lại.</t>
  </si>
  <si>
    <t>Tab còn lại cũng bị đăng xuất và yêu cầu đăng nhập lại.</t>
  </si>
  <si>
    <t>14/06/2028</t>
  </si>
  <si>
    <t>Xử lý lỗi mạng khi đăng xuất</t>
  </si>
  <si>
    <t>1. Đăng nhập vào hệ thống.
2. Ngắt kết nối mạng và nhấn "Đăng xuất".
3. Kiểm tra thông báo hệ thống và trạng thái đăng xuất.</t>
  </si>
  <si>
    <t>Hệ thống hiển thị thông báo lỗi mạng và giữ nguyên trạng thái đăng nhập cho đến khi kết nối được khôi phục.</t>
  </si>
  <si>
    <t>14/06/2029</t>
  </si>
  <si>
    <t xml:space="preserve">                                                             Check value of Carrier column at the ClassicDIA Mode</t>
  </si>
  <si>
    <t>TEST REPORT</t>
  </si>
  <si>
    <t>Note:</t>
  </si>
  <si>
    <t>Date</t>
    <phoneticPr fontId="13"/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</si>
  <si>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</si>
  <si>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</si>
  <si>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</si>
  <si>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</si>
  <si>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</si>
  <si>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</si>
  <si>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</si>
  <si>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6. Tính năng xuất ra file excel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</si>
  <si>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</si>
  <si>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</si>
  <si>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</si>
  <si>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</si>
  <si>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</si>
  <si>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</si>
  <si>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</si>
  <si>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</si>
  <si>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</si>
  <si>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Xuất báo cáo đơn hàng tháng 5</t>
  </si>
  <si>
    <t>Không chọn ngày</t>
  </si>
  <si>
    <t>Xuất khi không có dữ liệu</t>
  </si>
  <si>
    <t>Kiểm tra định dạng file Excel</t>
  </si>
  <si>
    <t>Xuất báo cáo sản phẩm bán chạy</t>
  </si>
  <si>
    <t>Xuất báo cáo với ký tự đặc biệt trong tên</t>
  </si>
  <si>
    <t>Tải về nhiều lần liên tiếp</t>
  </si>
  <si>
    <t>Kiểm tra xuất Excel khi mất kết nối mạng</t>
  </si>
  <si>
    <t>Chọn sai định dạng ngày (nếu nhập tay)</t>
  </si>
  <si>
    <t>Chọn loại báo cáo nhưng không chọn ngày</t>
  </si>
  <si>
    <t>1. Mở trang báo cáo
2. Chọn tháng 5/2025
3. Nhấn “Xuất Excel”</t>
  </si>
  <si>
    <t>Nhấn “Xuất Excel” khi không chọn ngày</t>
  </si>
  <si>
    <t>Nhập ngày 01/01/2020 – 01/01/2020</t>
  </si>
  <si>
    <t>Kiểm tra tên file và định dạng dữ liệu trong file</t>
  </si>
  <si>
    <t>Chọn “Sản phẩm bán chạy”, nhấn “Xuất Excel”</t>
  </si>
  <si>
    <t>Đặt tên file tùy chỉnh có ký tự đặc biệt (/, *, ?, ...)</t>
  </si>
  <si>
    <t>Nhấn “Xuất Excel” liên tục 3 lần</t>
  </si>
  <si>
    <t>Ngắt mạng giữa quá trình xuất file</t>
  </si>
  <si>
    <t>Nhập ngày bằng tay với định dạng sai (dd-yy-mm)</t>
  </si>
  <si>
    <t>Chọn loại báo cáo nhưng bỏ qua phần chọn ngày</t>
  </si>
  <si>
    <t>01/05/2025 – 31/05/2025</t>
  </si>
  <si>
    <t>--</t>
  </si>
  <si>
    <t>Không có dữ liệu</t>
  </si>
  <si>
    <t>Tạo báo cáo doanh thu Tháng 6/2025</t>
  </si>
  <si>
    <t>Chọn đúng loại báo cáo</t>
  </si>
  <si>
    <t>Tên file: “Báo cáo tháng 6/2025?”</t>
  </si>
  <si>
    <t>Chọn cùng 1 báo cáo</t>
  </si>
  <si>
    <t>Đang tạo báo cáo, rồi ngắt mạng</t>
  </si>
  <si>
    <t>31-25-06</t>
  </si>
  <si>
    <t>Loại: “Doanh thu”</t>
  </si>
  <si>
    <t>STT</t>
  </si>
  <si>
    <t>Tên Test Case</t>
  </si>
  <si>
    <t>Mô tả</t>
  </si>
  <si>
    <t>Dữ liệu đầu vào</t>
  </si>
  <si>
    <t>Kết quả mong đợi</t>
  </si>
  <si>
    <t>Trạng thái</t>
  </si>
  <si>
    <t>File Excel được tải về, dữ liệu đầy đủ</t>
  </si>
  <si>
    <t>Hiện thông báo lỗi “Vui lòng chọn thời gian báo cáo”</t>
  </si>
  <si>
    <t>Hiện thông báo “Không có dữ liệu để xuất”</t>
  </si>
  <si>
    <t>File có tên đúng, định dạng số tiền, ngày tháng chuẩn</t>
  </si>
  <si>
    <t>Hệ thống xử lý ký tự đặc biệt hoặc cảnh báo người dùng</t>
  </si>
  <si>
    <t>Mỗi lần xuất ra file riêng biệt, không lỗi hệ thống</t>
  </si>
  <si>
    <t>Hiện lỗi “Không thể kết nối tới máy chủ” hoặc xử lý ngoại lệ</t>
  </si>
  <si>
    <t>Hiện lỗi “Định dạng ngày không hợp lệ”</t>
  </si>
  <si>
    <t>Hiện lỗi yêu cầu chọn ngày</t>
  </si>
  <si>
    <t>7. Tính năng gửi qua mail</t>
  </si>
  <si>
    <t>Gửi báo cáo đơn hàng qua email hợp lệ</t>
  </si>
  <si>
    <t>Chọn báo cáo, nhập email hợp lệ, nhấn “Gửi”</t>
  </si>
  <si>
    <t>Email: nguyennhts00640@fpt.edu.vn</t>
  </si>
  <si>
    <t>Hiện “Gửi thành công”, email nhận được file đính kèm</t>
  </si>
  <si>
    <t>Gửi khi chưa nhập email</t>
  </si>
  <si>
    <t>Nhấn “Gửi” khi không nhập email</t>
  </si>
  <si>
    <t>Hiện lỗi “Vui lòng nhập địa chỉ email”</t>
  </si>
  <si>
    <t>Nhập email sai định dạng</t>
  </si>
  <si>
    <t>Nhập email không hợp lệ</t>
  </si>
  <si>
    <t>abc@com</t>
  </si>
  <si>
    <t>Hiện lỗi “Địa chỉ email không hợp lệ”</t>
  </si>
  <si>
    <t>Gửi báo cáo không có dữ liệu</t>
  </si>
  <si>
    <t>Chọn ngày không có dữ liệu rồi gửi</t>
  </si>
  <si>
    <t>01/01/2020 – 01/01/2020</t>
  </si>
  <si>
    <t>Hiện cảnh báo “Không có dữ liệu để gửi báo cáo”</t>
  </si>
  <si>
    <t>Gửi lại nhiều lần liên tiếp</t>
  </si>
  <si>
    <t>Nhấn “Gửi” 5 lần liên tục</t>
  </si>
  <si>
    <t>Chỉ gửi 1 lần hoặc cảnh báo giới hạn gửi</t>
  </si>
  <si>
    <t>Gửi email có file trống</t>
  </si>
  <si>
    <t>Hệ thống  gửi file báo cáo nhưng không có dữ liệu</t>
  </si>
  <si>
    <t>Báo cáo không có dữ liệu</t>
  </si>
  <si>
    <t>Hiện lỗi “Không thể gửi file trống”</t>
  </si>
  <si>
    <t>Gửi báo cáo quá dung lượng (&gt;10MB)</t>
  </si>
  <si>
    <t>Báo cáo quá lớn, chứa nhiều dòng dữ liệu</t>
  </si>
  <si>
    <t>Gửi file Excel dung lượng lớn</t>
  </si>
  <si>
    <t>Hiện lỗi hoặc cảnh báo “File quá lớn không thể gửi email”</t>
  </si>
  <si>
    <t>Gửi báo cáo cho nhiều người cùng lúc</t>
  </si>
  <si>
    <t>Nhập nhiều email phân tách bằng dấu phẩy</t>
  </si>
  <si>
    <t>nguyennhts00640@fpt.edu.vn, hungnguyenlq123@gmail.com</t>
  </si>
  <si>
    <t>Hệ thống gửi thành công đến tất cả địa chỉ</t>
  </si>
  <si>
    <t>Gửi email khi mất kết nối mạng</t>
  </si>
  <si>
    <t>Ngắt mạng trong quá trình nhấn nút “Gửi”</t>
  </si>
  <si>
    <t>Hiện lỗi “Không thể kết nối tới máy chủ email”</t>
  </si>
  <si>
    <t>Nhập email có khoảng trắng</t>
  </si>
  <si>
    <t>Email: n guyennhts00640@fpt.edu.vn</t>
  </si>
  <si>
    <t>Hệ thống tự xử lý hoặc báo lỗi “Email không hợp lệ”</t>
  </si>
  <si>
    <r>
      <t xml:space="preserve">Nhập email như </t>
    </r>
    <r>
      <rPr>
        <sz val="10"/>
        <color theme="1"/>
        <rFont val="Tahoma"/>
        <family val="2"/>
      </rPr>
      <t>admin@example.com</t>
    </r>
    <r>
      <rPr>
        <sz val="11"/>
        <rFont val="Tahoma"/>
        <family val="2"/>
      </rPr>
      <t xml:space="preserve"> có dấu cách</t>
    </r>
  </si>
  <si>
    <t>KiemThuWebsiteQuanLyNhaHangTrucTuyen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</si>
</sst>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32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1"/>
      <color indexed="10"/>
      <name val="ＭＳ Ｐゴシック"/>
      <charset val="128"/>
    </font>
    <font>
      <sz val="10"/>
      <color rgb="FF000000"/>
      <name val="Tahoma"/>
      <family val="2"/>
    </font>
    <font>
      <sz val="11"/>
      <name val="Calibri"/>
      <family val="2"/>
      <scheme val="minor"/>
    </font>
    <font>
      <sz val="10"/>
      <name val="Lato"/>
      <family val="2"/>
    </font>
    <font>
      <sz val="11"/>
      <name val="Tahoma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87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wrapText="1"/>
    </xf>
    <xf numFmtId="0" fontId="15" fillId="3" borderId="14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/>
    <xf numFmtId="0" fontId="19" fillId="0" borderId="0" xfId="0" applyFo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3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20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/>
    <xf numFmtId="0" fontId="6" fillId="0" borderId="21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2" fontId="0" fillId="0" borderId="0" xfId="0" applyNumberFormat="1" applyAlignment="1">
      <alignment vertical="top"/>
    </xf>
    <xf numFmtId="0" fontId="23" fillId="0" borderId="2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33" xfId="0" applyFont="1" applyFill="1" applyBorder="1" applyAlignment="1">
      <alignment horizontal="center" wrapText="1"/>
    </xf>
    <xf numFmtId="2" fontId="0" fillId="0" borderId="0" xfId="0" applyNumberFormat="1" applyAlignment="1">
      <alignment horizontal="left"/>
    </xf>
    <xf numFmtId="2" fontId="24" fillId="0" borderId="20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left" vertical="top"/>
    </xf>
    <xf numFmtId="2" fontId="0" fillId="0" borderId="20" xfId="0" applyNumberForma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165" fontId="6" fillId="0" borderId="21" xfId="0" applyNumberFormat="1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23" fillId="0" borderId="21" xfId="0" applyFont="1" applyBorder="1" applyAlignment="1">
      <alignment horizontal="left" vertical="top" wrapText="1"/>
    </xf>
    <xf numFmtId="0" fontId="6" fillId="0" borderId="21" xfId="0" quotePrefix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2" fontId="0" fillId="0" borderId="22" xfId="0" applyNumberFormat="1" applyBorder="1" applyAlignment="1">
      <alignment horizontal="left"/>
    </xf>
    <xf numFmtId="2" fontId="4" fillId="0" borderId="22" xfId="0" applyNumberFormat="1" applyFont="1" applyBorder="1" applyAlignment="1">
      <alignment horizontal="left"/>
    </xf>
    <xf numFmtId="0" fontId="23" fillId="0" borderId="17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 wrapText="1"/>
    </xf>
    <xf numFmtId="2" fontId="28" fillId="0" borderId="20" xfId="0" applyNumberFormat="1" applyFont="1" applyBorder="1" applyAlignment="1">
      <alignment horizontal="left"/>
    </xf>
    <xf numFmtId="2" fontId="4" fillId="7" borderId="1" xfId="0" applyNumberFormat="1" applyFont="1" applyFill="1" applyBorder="1" applyAlignment="1">
      <alignment horizontal="left" vertical="top"/>
    </xf>
    <xf numFmtId="2" fontId="28" fillId="0" borderId="0" xfId="0" applyNumberFormat="1" applyFont="1"/>
    <xf numFmtId="0" fontId="22" fillId="8" borderId="22" xfId="2" applyFont="1" applyFill="1" applyBorder="1" applyAlignment="1">
      <alignment horizontal="left" vertical="center" wrapText="1"/>
    </xf>
    <xf numFmtId="2" fontId="0" fillId="8" borderId="0" xfId="0" applyNumberFormat="1" applyFill="1" applyAlignment="1">
      <alignment horizontal="left"/>
    </xf>
    <xf numFmtId="0" fontId="22" fillId="8" borderId="0" xfId="2" applyFont="1" applyFill="1" applyAlignment="1">
      <alignment horizontal="left" vertical="center" wrapText="1"/>
    </xf>
    <xf numFmtId="2" fontId="4" fillId="8" borderId="0" xfId="0" applyNumberFormat="1" applyFont="1" applyFill="1" applyAlignment="1">
      <alignment horizontal="left"/>
    </xf>
    <xf numFmtId="0" fontId="23" fillId="8" borderId="0" xfId="0" applyFont="1" applyFill="1" applyAlignment="1">
      <alignment horizontal="left" vertical="top" wrapText="1"/>
    </xf>
    <xf numFmtId="0" fontId="22" fillId="4" borderId="0" xfId="2" applyFont="1" applyFill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/>
    </xf>
    <xf numFmtId="0" fontId="29" fillId="9" borderId="1" xfId="0" applyFont="1" applyFill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5" fontId="6" fillId="0" borderId="0" xfId="0" applyNumberFormat="1" applyFont="1" applyAlignment="1">
      <alignment horizontal="left" vertical="top" wrapText="1"/>
    </xf>
    <xf numFmtId="2" fontId="6" fillId="0" borderId="0" xfId="0" applyNumberFormat="1" applyFont="1" applyAlignment="1">
      <alignment horizontal="left" vertical="top" wrapText="1"/>
    </xf>
    <xf numFmtId="0" fontId="30" fillId="9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15" fillId="5" borderId="30" xfId="2" applyFont="1" applyFill="1" applyBorder="1" applyAlignment="1">
      <alignment vertical="center" wrapText="1"/>
    </xf>
    <xf numFmtId="0" fontId="15" fillId="5" borderId="1" xfId="2" applyFont="1" applyFill="1" applyBorder="1" applyAlignment="1">
      <alignment vertical="center" wrapText="1"/>
    </xf>
    <xf numFmtId="0" fontId="15" fillId="5" borderId="30" xfId="2" applyFont="1" applyFill="1" applyBorder="1" applyAlignment="1">
      <alignment horizontal="center" vertical="center" wrapText="1"/>
    </xf>
    <xf numFmtId="0" fontId="15" fillId="5" borderId="1" xfId="2" applyFont="1" applyFill="1" applyBorder="1" applyAlignment="1">
      <alignment horizontal="center" vertical="center" wrapText="1"/>
    </xf>
    <xf numFmtId="0" fontId="15" fillId="5" borderId="31" xfId="2" applyFont="1" applyFill="1" applyBorder="1" applyAlignment="1">
      <alignment horizontal="center" vertical="center" wrapText="1"/>
    </xf>
    <xf numFmtId="0" fontId="15" fillId="5" borderId="0" xfId="2" applyFont="1" applyFill="1" applyAlignment="1">
      <alignment horizontal="center" vertical="center" wrapText="1"/>
    </xf>
    <xf numFmtId="0" fontId="15" fillId="5" borderId="32" xfId="2" applyFont="1" applyFill="1" applyBorder="1" applyAlignment="1">
      <alignment horizontal="center" vertical="center" wrapText="1"/>
    </xf>
    <xf numFmtId="0" fontId="15" fillId="5" borderId="27" xfId="2" applyFont="1" applyFill="1" applyBorder="1" applyAlignment="1">
      <alignment horizontal="center" vertical="center" wrapText="1"/>
    </xf>
    <xf numFmtId="0" fontId="15" fillId="5" borderId="33" xfId="2" applyFont="1" applyFill="1" applyBorder="1" applyAlignment="1">
      <alignment horizontal="center" vertical="center" wrapText="1"/>
    </xf>
    <xf numFmtId="0" fontId="15" fillId="5" borderId="34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15" fillId="5" borderId="26" xfId="2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left" vertical="center"/>
    </xf>
    <xf numFmtId="0" fontId="20" fillId="6" borderId="17" xfId="0" applyFont="1" applyFill="1" applyBorder="1" applyAlignment="1">
      <alignment horizontal="left" vertical="center"/>
    </xf>
    <xf numFmtId="0" fontId="25" fillId="0" borderId="20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top" wrapText="1"/>
    </xf>
    <xf numFmtId="0" fontId="25" fillId="0" borderId="26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2" fillId="4" borderId="0" xfId="2" applyFont="1" applyFill="1" applyAlignment="1">
      <alignment horizontal="left" vertical="top" wrapText="1"/>
    </xf>
    <xf numFmtId="0" fontId="22" fillId="8" borderId="22" xfId="2" applyFont="1" applyFill="1" applyBorder="1" applyAlignment="1">
      <alignment horizontal="left" vertical="top" wrapText="1"/>
    </xf>
    <xf numFmtId="0" fontId="22" fillId="8" borderId="35" xfId="2" applyFont="1" applyFill="1" applyBorder="1" applyAlignment="1">
      <alignment horizontal="left" vertical="top" wrapText="1"/>
    </xf>
  </cellXfs>
  <cellStyles count="4">
    <cellStyle name="Normal" xfId="0" builtinId="0"/>
    <cellStyle name="Normal_Functional Test Case v1.0" xfId="1" xr:uid="{00000000-0005-0000-0000-000000000000}"/>
    <cellStyle name="Normal_Sheet1_Vanco_CR022a1_TestCase_v0.1" xfId="2" xr:uid="{00000000-0005-0000-0000-000001000000}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tabSelected="1" workbookViewId="0">
      <selection activeCell="C6" sqref="C6:E6"/>
    </sheetView>
  </sheetViews>
  <sheetFormatPr defaultColWidth="9" defaultRowHeight="13.8"/>
  <cols>
    <col min="1" max="1" width="9" style="1"/>
    <col min="2" max="2" width="14.21875" style="1" customWidth="1"/>
    <col min="3" max="3" width="9" style="1"/>
    <col min="4" max="4" width="15" style="1" customWidth="1"/>
    <col min="5" max="5" width="32.33203125" style="1" customWidth="1"/>
    <col min="6" max="6" width="23.88671875" style="1" customWidth="1"/>
    <col min="7" max="7" width="20.33203125" style="1" customWidth="1"/>
    <col min="8" max="8" width="26.77734375" style="1" customWidth="1"/>
    <col min="9" max="16384" width="9" style="1"/>
  </cols>
  <sheetData>
    <row r="2" spans="1:8" ht="22.2">
      <c r="A2" s="25"/>
      <c r="B2" s="26" t="s">
        <v>0</v>
      </c>
      <c r="C2" s="25"/>
      <c r="D2" s="25"/>
      <c r="E2" s="25"/>
      <c r="F2" s="25"/>
      <c r="G2" s="25"/>
    </row>
    <row r="3" spans="1:8">
      <c r="A3" s="25"/>
      <c r="B3" s="27" t="s">
        <v>1</v>
      </c>
      <c r="C3" s="61">
        <v>1.2</v>
      </c>
      <c r="D3" s="28"/>
      <c r="E3" s="25"/>
      <c r="F3" s="25"/>
      <c r="G3" s="25"/>
    </row>
    <row r="4" spans="1:8">
      <c r="A4" s="25"/>
      <c r="B4" s="27" t="s">
        <v>2</v>
      </c>
      <c r="C4" s="11" t="s">
        <v>3</v>
      </c>
      <c r="D4" s="11"/>
      <c r="E4" s="25"/>
      <c r="F4" s="25"/>
      <c r="G4" s="25"/>
    </row>
    <row r="5" spans="1:8" ht="14.4" thickBot="1">
      <c r="A5" s="25"/>
      <c r="B5" s="27"/>
      <c r="C5" s="28"/>
      <c r="D5" s="28"/>
      <c r="E5" s="25"/>
      <c r="F5" s="25"/>
      <c r="G5" s="25"/>
    </row>
    <row r="6" spans="1:8" ht="14.25" customHeight="1" thickBot="1">
      <c r="A6" s="25"/>
      <c r="B6" s="27" t="s">
        <v>4</v>
      </c>
      <c r="C6" s="144" t="s">
        <v>354</v>
      </c>
      <c r="D6" s="144"/>
      <c r="E6" s="145"/>
      <c r="F6" s="25"/>
      <c r="G6" s="25"/>
    </row>
    <row r="7" spans="1:8">
      <c r="A7" s="25"/>
      <c r="B7" s="27" t="s">
        <v>5</v>
      </c>
      <c r="C7" s="144" t="s">
        <v>6</v>
      </c>
      <c r="D7" s="144"/>
      <c r="E7" s="145"/>
      <c r="F7" s="25"/>
      <c r="G7" s="25"/>
    </row>
    <row r="8" spans="1:8">
      <c r="A8" s="25"/>
      <c r="B8" s="27"/>
      <c r="C8" s="25"/>
      <c r="D8" s="25"/>
      <c r="E8" s="25"/>
      <c r="F8" s="25"/>
      <c r="G8" s="25"/>
    </row>
    <row r="9" spans="1:8">
      <c r="A9" s="25"/>
      <c r="B9" s="19"/>
      <c r="C9" s="19"/>
      <c r="D9" s="19"/>
      <c r="E9" s="19"/>
      <c r="F9" s="25"/>
      <c r="G9" s="25"/>
    </row>
    <row r="10" spans="1:8">
      <c r="B10" s="5" t="s">
        <v>7</v>
      </c>
    </row>
    <row r="11" spans="1:8" s="34" customFormat="1" ht="26.4">
      <c r="B11" s="50" t="s">
        <v>8</v>
      </c>
      <c r="C11" s="51" t="s">
        <v>9</v>
      </c>
      <c r="D11" s="51" t="s">
        <v>10</v>
      </c>
      <c r="E11" s="51" t="s">
        <v>11</v>
      </c>
      <c r="F11" s="51" t="s">
        <v>12</v>
      </c>
      <c r="G11" s="52" t="s">
        <v>13</v>
      </c>
      <c r="H11" s="86" t="s">
        <v>14</v>
      </c>
    </row>
    <row r="12" spans="1:8" s="34" customFormat="1" ht="26.4">
      <c r="B12" s="36">
        <v>39293</v>
      </c>
      <c r="C12" s="37" t="s">
        <v>15</v>
      </c>
      <c r="D12" s="38"/>
      <c r="E12" s="39" t="s">
        <v>16</v>
      </c>
      <c r="F12" s="73" t="s">
        <v>17</v>
      </c>
      <c r="G12" s="85"/>
      <c r="H12" s="87" t="s">
        <v>18</v>
      </c>
    </row>
    <row r="13" spans="1:8" s="34" customFormat="1" ht="26.4">
      <c r="B13" s="103">
        <v>39295</v>
      </c>
      <c r="C13" s="37" t="s">
        <v>19</v>
      </c>
      <c r="D13" s="38"/>
      <c r="E13" s="39" t="s">
        <v>20</v>
      </c>
      <c r="F13" s="73" t="s">
        <v>17</v>
      </c>
      <c r="G13" s="102" t="s">
        <v>21</v>
      </c>
      <c r="H13" s="87" t="s">
        <v>18</v>
      </c>
    </row>
    <row r="14" spans="1:8" s="35" customFormat="1" ht="26.4">
      <c r="B14" s="36">
        <v>39311</v>
      </c>
      <c r="C14" s="37" t="s">
        <v>22</v>
      </c>
      <c r="D14" s="38"/>
      <c r="E14" s="39" t="s">
        <v>20</v>
      </c>
      <c r="F14" s="73" t="s">
        <v>17</v>
      </c>
      <c r="G14" s="102" t="s">
        <v>23</v>
      </c>
      <c r="H14" s="87" t="s">
        <v>18</v>
      </c>
    </row>
    <row r="15" spans="1:8" s="35" customFormat="1" ht="13.2">
      <c r="B15" s="43"/>
      <c r="C15" s="44"/>
      <c r="D15" s="41"/>
      <c r="E15" s="41"/>
      <c r="F15" s="41"/>
      <c r="G15" s="41"/>
      <c r="H15" s="42"/>
    </row>
    <row r="16" spans="1:8" s="34" customFormat="1">
      <c r="B16" s="36"/>
      <c r="C16" s="40"/>
      <c r="D16" s="38"/>
      <c r="E16" s="41"/>
      <c r="F16" s="41"/>
      <c r="G16" s="41"/>
      <c r="H16" s="45"/>
    </row>
    <row r="17" spans="2:8" s="34" customFormat="1">
      <c r="B17" s="43"/>
      <c r="C17" s="44"/>
      <c r="D17" s="41"/>
      <c r="E17" s="41"/>
      <c r="F17" s="41"/>
      <c r="G17" s="41"/>
      <c r="H17" s="42"/>
    </row>
    <row r="18" spans="2:8" s="34" customFormat="1">
      <c r="B18" s="43"/>
      <c r="C18" s="44"/>
      <c r="D18" s="41"/>
      <c r="E18" s="41"/>
      <c r="F18" s="41"/>
      <c r="G18" s="41"/>
      <c r="H18" s="42"/>
    </row>
    <row r="19" spans="2:8" s="34" customFormat="1">
      <c r="B19" s="43"/>
      <c r="C19" s="44"/>
      <c r="D19" s="41"/>
      <c r="E19" s="41"/>
      <c r="F19" s="41"/>
      <c r="G19" s="41"/>
      <c r="H19" s="42"/>
    </row>
    <row r="20" spans="2:8" s="34" customFormat="1">
      <c r="B20" s="43"/>
      <c r="C20" s="44"/>
      <c r="D20" s="41"/>
      <c r="E20" s="41"/>
      <c r="F20" s="41"/>
      <c r="G20" s="41"/>
      <c r="H20" s="42"/>
    </row>
    <row r="21" spans="2:8" s="34" customFormat="1">
      <c r="B21" s="43"/>
      <c r="C21" s="44"/>
      <c r="D21" s="41"/>
      <c r="E21" s="41"/>
      <c r="F21" s="41"/>
      <c r="G21" s="41"/>
      <c r="H21" s="42"/>
    </row>
    <row r="22" spans="2:8" s="34" customFormat="1">
      <c r="B22" s="43"/>
      <c r="C22" s="44"/>
      <c r="D22" s="41"/>
      <c r="E22" s="41"/>
      <c r="F22" s="41"/>
      <c r="G22" s="41"/>
      <c r="H22" s="42"/>
    </row>
    <row r="23" spans="2:8" s="34" customFormat="1">
      <c r="B23" s="46"/>
      <c r="C23" s="47"/>
      <c r="D23" s="48"/>
      <c r="E23" s="48"/>
      <c r="F23" s="48"/>
      <c r="G23" s="48"/>
      <c r="H23" s="49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39"/>
  <sheetViews>
    <sheetView zoomScale="85" zoomScaleNormal="85" workbookViewId="0">
      <selection activeCell="B3" sqref="B3:D3"/>
    </sheetView>
  </sheetViews>
  <sheetFormatPr defaultRowHeight="13.8" outlineLevelRow="1"/>
  <cols>
    <col min="1" max="1" width="15.77734375" customWidth="1"/>
    <col min="2" max="2" width="30.77734375" customWidth="1"/>
    <col min="3" max="3" width="42.109375" customWidth="1"/>
    <col min="4" max="4" width="36.77734375" customWidth="1"/>
    <col min="5" max="5" width="51.21875" customWidth="1"/>
    <col min="6" max="6" width="23.77734375" customWidth="1"/>
    <col min="7" max="7" width="18.33203125" hidden="1" customWidth="1"/>
    <col min="8" max="8" width="17.21875" customWidth="1"/>
    <col min="9" max="9" width="9" style="95"/>
    <col min="10" max="10" width="18" style="94" customWidth="1"/>
  </cols>
  <sheetData>
    <row r="1" spans="1:11" s="2" customFormat="1" ht="12.75" customHeight="1">
      <c r="A1" s="62" t="s">
        <v>0</v>
      </c>
      <c r="B1" s="164"/>
      <c r="C1" s="164"/>
      <c r="D1" s="164"/>
      <c r="E1" s="6"/>
      <c r="F1" s="6"/>
      <c r="G1" s="6"/>
      <c r="H1" s="6"/>
      <c r="I1" s="104"/>
      <c r="J1" s="6"/>
      <c r="K1" s="7"/>
    </row>
    <row r="2" spans="1:11" s="2" customFormat="1" ht="11.25" customHeight="1" thickBot="1">
      <c r="A2" s="7"/>
      <c r="B2" s="165"/>
      <c r="C2" s="165"/>
      <c r="D2" s="165"/>
      <c r="E2" s="6"/>
      <c r="F2" s="6"/>
      <c r="G2" s="6"/>
      <c r="H2" s="6"/>
      <c r="I2" s="104"/>
      <c r="J2" s="6"/>
      <c r="K2" s="7"/>
    </row>
    <row r="3" spans="1:11" s="3" customFormat="1" ht="15" customHeight="1">
      <c r="A3" s="63" t="s">
        <v>24</v>
      </c>
      <c r="B3" s="144" t="s">
        <v>354</v>
      </c>
      <c r="C3" s="144"/>
      <c r="D3" s="145"/>
      <c r="E3" s="66"/>
      <c r="F3" s="66"/>
      <c r="G3" s="66"/>
      <c r="H3" s="171"/>
      <c r="I3" s="171"/>
      <c r="J3" s="171"/>
      <c r="K3" s="9"/>
    </row>
    <row r="4" spans="1:11" s="3" customFormat="1" ht="13.2">
      <c r="A4" s="68" t="s">
        <v>25</v>
      </c>
      <c r="B4" s="172" t="s">
        <v>26</v>
      </c>
      <c r="C4" s="173"/>
      <c r="D4" s="174"/>
      <c r="E4" s="66"/>
      <c r="F4" s="66"/>
      <c r="G4" s="66"/>
      <c r="H4" s="171"/>
      <c r="I4" s="171"/>
      <c r="J4" s="171"/>
      <c r="K4" s="9"/>
    </row>
    <row r="5" spans="1:11" s="77" customFormat="1" ht="26.4">
      <c r="A5" s="68" t="s">
        <v>27</v>
      </c>
      <c r="B5" s="167" t="s">
        <v>28</v>
      </c>
      <c r="C5" s="168"/>
      <c r="D5" s="169"/>
      <c r="E5" s="75"/>
      <c r="F5" s="75"/>
      <c r="G5" s="75"/>
      <c r="H5" s="170"/>
      <c r="I5" s="170"/>
      <c r="J5" s="170"/>
      <c r="K5" s="76"/>
    </row>
    <row r="6" spans="1:11" s="3" customFormat="1" ht="15" customHeight="1">
      <c r="A6" s="12" t="s">
        <v>29</v>
      </c>
      <c r="B6" s="91">
        <f>COUNTIF(I12:I96,"Pass")</f>
        <v>20</v>
      </c>
      <c r="C6" s="10" t="s">
        <v>30</v>
      </c>
      <c r="D6" s="13">
        <f>COUNTIF(I10:I818,"Pending")</f>
        <v>0</v>
      </c>
      <c r="E6" s="8"/>
      <c r="F6" s="8"/>
      <c r="G6" s="8"/>
      <c r="H6" s="171"/>
      <c r="I6" s="171"/>
      <c r="J6" s="171"/>
      <c r="K6" s="9"/>
    </row>
    <row r="7" spans="1:11" s="3" customFormat="1" ht="15" customHeight="1" thickBot="1">
      <c r="A7" s="14" t="s">
        <v>31</v>
      </c>
      <c r="B7" s="92">
        <f>COUNTIF(I12:I96,"Fail")</f>
        <v>11</v>
      </c>
      <c r="C7" s="29" t="s">
        <v>32</v>
      </c>
      <c r="D7" s="64">
        <f ca="1">COUNTA(A12:A112) -15</f>
        <v>70</v>
      </c>
      <c r="E7" s="67"/>
      <c r="F7" s="67"/>
      <c r="G7" s="67"/>
      <c r="H7" s="171"/>
      <c r="I7" s="171"/>
      <c r="J7" s="171"/>
      <c r="K7" s="9"/>
    </row>
    <row r="8" spans="1:11" s="3" customFormat="1" ht="15" customHeight="1">
      <c r="A8" s="166"/>
      <c r="B8" s="166"/>
      <c r="C8" s="166"/>
      <c r="D8" s="166"/>
      <c r="E8" s="8"/>
      <c r="F8" s="8"/>
      <c r="G8" s="8"/>
      <c r="H8" s="8"/>
      <c r="I8" s="105"/>
      <c r="J8" s="105"/>
      <c r="K8" s="9"/>
    </row>
    <row r="9" spans="1:11" s="79" customFormat="1" ht="12" customHeight="1">
      <c r="A9" s="156" t="s">
        <v>33</v>
      </c>
      <c r="B9" s="154" t="s">
        <v>34</v>
      </c>
      <c r="C9" s="156" t="s">
        <v>35</v>
      </c>
      <c r="D9" s="158" t="s">
        <v>36</v>
      </c>
      <c r="E9" s="159"/>
      <c r="F9" s="159"/>
      <c r="G9" s="160"/>
      <c r="H9" s="175" t="s">
        <v>37</v>
      </c>
      <c r="I9" s="157" t="s">
        <v>38</v>
      </c>
      <c r="J9" s="157" t="s">
        <v>39</v>
      </c>
      <c r="K9" s="78"/>
    </row>
    <row r="10" spans="1:11" s="3" customFormat="1" ht="12" customHeight="1">
      <c r="A10" s="157"/>
      <c r="B10" s="155"/>
      <c r="C10" s="157"/>
      <c r="D10" s="161"/>
      <c r="E10" s="162"/>
      <c r="F10" s="162"/>
      <c r="G10" s="163"/>
      <c r="H10" s="161"/>
      <c r="I10" s="157"/>
      <c r="J10" s="157"/>
      <c r="K10" s="9"/>
    </row>
    <row r="11" spans="1:11" s="80" customFormat="1" ht="15">
      <c r="A11" s="176"/>
      <c r="B11" s="176"/>
      <c r="C11" s="176"/>
      <c r="D11" s="176"/>
      <c r="E11" s="176"/>
      <c r="F11" s="176"/>
      <c r="G11" s="176"/>
      <c r="H11" s="176"/>
      <c r="I11" s="176"/>
      <c r="J11" s="177"/>
    </row>
    <row r="12" spans="1:11" s="4" customFormat="1" ht="13.2">
      <c r="A12" s="149" t="s">
        <v>40</v>
      </c>
      <c r="B12" s="150"/>
      <c r="C12" s="150"/>
      <c r="D12" s="150"/>
      <c r="E12" s="150"/>
      <c r="F12" s="150"/>
      <c r="G12" s="150"/>
      <c r="H12" s="150"/>
      <c r="I12" s="150"/>
      <c r="J12" s="151"/>
    </row>
    <row r="13" spans="1:11" s="4" customFormat="1" ht="39.6" outlineLevel="1">
      <c r="A13" s="84" t="s">
        <v>41</v>
      </c>
      <c r="B13" s="83" t="s">
        <v>42</v>
      </c>
      <c r="C13" s="83" t="s">
        <v>43</v>
      </c>
      <c r="D13" s="146" t="s">
        <v>44</v>
      </c>
      <c r="E13" s="147"/>
      <c r="F13" s="147"/>
      <c r="G13" s="82"/>
      <c r="H13" s="100"/>
      <c r="I13" s="83"/>
      <c r="J13" s="81"/>
    </row>
    <row r="14" spans="1:11" s="4" customFormat="1" ht="39.6" outlineLevel="1">
      <c r="A14" s="84" t="s">
        <v>45</v>
      </c>
      <c r="B14" s="83" t="s">
        <v>46</v>
      </c>
      <c r="C14" s="83" t="s">
        <v>47</v>
      </c>
      <c r="D14" s="146" t="s">
        <v>48</v>
      </c>
      <c r="E14" s="147"/>
      <c r="F14" s="147"/>
      <c r="G14" s="82"/>
      <c r="H14" s="100"/>
      <c r="I14" s="83"/>
      <c r="J14" s="81"/>
    </row>
    <row r="15" spans="1:11" s="4" customFormat="1" ht="38.25" customHeight="1" outlineLevel="1">
      <c r="A15" s="84" t="s">
        <v>49</v>
      </c>
      <c r="B15" s="83" t="s">
        <v>42</v>
      </c>
      <c r="C15" s="83" t="s">
        <v>50</v>
      </c>
      <c r="D15" s="146" t="s">
        <v>48</v>
      </c>
      <c r="E15" s="147"/>
      <c r="F15" s="147"/>
      <c r="G15" s="82"/>
      <c r="H15" s="100"/>
      <c r="I15" s="83"/>
      <c r="J15" s="81"/>
    </row>
    <row r="16" spans="1:11" s="4" customFormat="1" ht="38.25" customHeight="1" outlineLevel="1">
      <c r="A16" s="84" t="s">
        <v>51</v>
      </c>
      <c r="B16" s="83" t="s">
        <v>52</v>
      </c>
      <c r="C16" s="83" t="s">
        <v>53</v>
      </c>
      <c r="D16" s="146" t="s">
        <v>54</v>
      </c>
      <c r="E16" s="147"/>
      <c r="F16" s="147"/>
      <c r="G16" s="82"/>
      <c r="H16" s="100"/>
      <c r="I16" s="83"/>
      <c r="J16" s="81"/>
    </row>
    <row r="17" spans="1:14" s="4" customFormat="1" ht="39.6" outlineLevel="1">
      <c r="A17" s="84" t="s">
        <v>55</v>
      </c>
      <c r="B17" s="83" t="s">
        <v>56</v>
      </c>
      <c r="C17" s="83" t="s">
        <v>57</v>
      </c>
      <c r="D17" s="146" t="s">
        <v>58</v>
      </c>
      <c r="E17" s="147"/>
      <c r="F17" s="147"/>
      <c r="G17" s="82"/>
      <c r="H17" s="100"/>
      <c r="I17" s="83"/>
      <c r="J17" s="81"/>
    </row>
    <row r="18" spans="1:14" s="4" customFormat="1" ht="37.5" customHeight="1" outlineLevel="1">
      <c r="A18" s="84" t="s">
        <v>59</v>
      </c>
      <c r="B18" s="83" t="s">
        <v>60</v>
      </c>
      <c r="C18" s="83" t="s">
        <v>61</v>
      </c>
      <c r="D18" s="146" t="s">
        <v>62</v>
      </c>
      <c r="E18" s="147"/>
      <c r="F18" s="147"/>
      <c r="G18" s="82"/>
      <c r="H18" s="100"/>
      <c r="I18" s="83"/>
      <c r="J18" s="81"/>
    </row>
    <row r="19" spans="1:14" s="4" customFormat="1" ht="63.75" customHeight="1" outlineLevel="1">
      <c r="A19" s="84" t="s">
        <v>63</v>
      </c>
      <c r="B19" s="83" t="s">
        <v>64</v>
      </c>
      <c r="C19" s="83" t="s">
        <v>50</v>
      </c>
      <c r="D19" s="146" t="s">
        <v>48</v>
      </c>
      <c r="E19" s="147"/>
      <c r="F19" s="147"/>
      <c r="G19" s="82"/>
      <c r="H19" s="100"/>
      <c r="I19" s="83"/>
      <c r="J19" s="81"/>
    </row>
    <row r="20" spans="1:14" s="4" customFormat="1" ht="39.6" outlineLevel="1">
      <c r="A20" s="84" t="s">
        <v>65</v>
      </c>
      <c r="B20" s="83" t="s">
        <v>66</v>
      </c>
      <c r="C20" s="83" t="s">
        <v>67</v>
      </c>
      <c r="D20" s="146" t="s">
        <v>44</v>
      </c>
      <c r="E20" s="147"/>
      <c r="F20" s="147"/>
      <c r="G20" s="82"/>
      <c r="H20" s="100"/>
      <c r="I20" s="83"/>
      <c r="J20" s="81"/>
    </row>
    <row r="21" spans="1:14" s="4" customFormat="1" ht="13.2" outlineLevel="1">
      <c r="A21" s="149" t="s">
        <v>68</v>
      </c>
      <c r="B21" s="150"/>
      <c r="C21" s="150"/>
      <c r="D21" s="97"/>
      <c r="E21" s="97"/>
      <c r="F21" s="97"/>
      <c r="G21" s="97"/>
      <c r="H21" s="97"/>
      <c r="I21" s="97"/>
      <c r="J21" s="98"/>
    </row>
    <row r="22" spans="1:14" s="4" customFormat="1" ht="130.94999999999999" customHeight="1" outlineLevel="1">
      <c r="A22" s="84" t="s">
        <v>69</v>
      </c>
      <c r="B22" s="96" t="s">
        <v>70</v>
      </c>
      <c r="C22" s="96" t="s">
        <v>71</v>
      </c>
      <c r="D22" s="178" t="s">
        <v>72</v>
      </c>
      <c r="E22" s="147"/>
      <c r="F22" s="147"/>
      <c r="G22" s="82"/>
      <c r="H22" s="93"/>
      <c r="I22" s="83"/>
      <c r="J22" s="81"/>
    </row>
    <row r="23" spans="1:14" s="4" customFormat="1" ht="73.95" customHeight="1" outlineLevel="1">
      <c r="A23" s="84">
        <f ca="1">A23:F34</f>
        <v>0</v>
      </c>
      <c r="B23" s="96" t="s">
        <v>73</v>
      </c>
      <c r="C23" s="96" t="s">
        <v>74</v>
      </c>
      <c r="D23" s="178" t="s">
        <v>75</v>
      </c>
      <c r="E23" s="147"/>
      <c r="F23" s="147"/>
      <c r="G23" s="82"/>
      <c r="H23" s="100"/>
      <c r="I23" s="83"/>
      <c r="J23" s="81"/>
    </row>
    <row r="24" spans="1:14" s="4" customFormat="1" ht="84" customHeight="1" outlineLevel="1">
      <c r="A24" s="84" t="s">
        <v>76</v>
      </c>
      <c r="B24" s="96" t="s">
        <v>77</v>
      </c>
      <c r="C24" s="96" t="s">
        <v>78</v>
      </c>
      <c r="D24" s="178" t="s">
        <v>79</v>
      </c>
      <c r="E24" s="147"/>
      <c r="F24" s="147"/>
      <c r="G24" s="82"/>
      <c r="H24" s="90"/>
      <c r="I24" s="83"/>
      <c r="J24" s="81"/>
    </row>
    <row r="25" spans="1:14" s="4" customFormat="1" ht="52.8" outlineLevel="1">
      <c r="A25" s="84" t="s">
        <v>80</v>
      </c>
      <c r="B25" s="96" t="s">
        <v>81</v>
      </c>
      <c r="C25" s="96" t="s">
        <v>82</v>
      </c>
      <c r="D25" s="178" t="s">
        <v>83</v>
      </c>
      <c r="E25" s="147"/>
      <c r="F25" s="147"/>
      <c r="G25" s="82"/>
      <c r="H25" s="90"/>
      <c r="I25" s="83"/>
      <c r="J25" s="81"/>
    </row>
    <row r="26" spans="1:14" s="4" customFormat="1" ht="105.6" outlineLevel="1">
      <c r="A26" s="84" t="s">
        <v>84</v>
      </c>
      <c r="B26" s="96" t="s">
        <v>85</v>
      </c>
      <c r="C26" s="96" t="s">
        <v>86</v>
      </c>
      <c r="D26" s="178" t="s">
        <v>87</v>
      </c>
      <c r="E26" s="147"/>
      <c r="F26" s="147"/>
      <c r="G26" s="82"/>
      <c r="H26" s="90"/>
      <c r="I26" s="83"/>
      <c r="J26" s="81"/>
    </row>
    <row r="27" spans="1:14" s="4" customFormat="1" ht="105.6">
      <c r="A27" s="84" t="s">
        <v>88</v>
      </c>
      <c r="B27" s="96" t="s">
        <v>89</v>
      </c>
      <c r="C27" s="96" t="s">
        <v>90</v>
      </c>
      <c r="D27" s="178" t="s">
        <v>91</v>
      </c>
      <c r="E27" s="147"/>
      <c r="F27" s="147"/>
      <c r="G27" s="82"/>
      <c r="H27" s="90"/>
      <c r="I27" s="83"/>
      <c r="J27" s="81"/>
    </row>
    <row r="28" spans="1:14" s="89" customFormat="1" ht="117.6" customHeight="1" outlineLevel="1">
      <c r="A28" s="84" t="s">
        <v>92</v>
      </c>
      <c r="B28" s="96" t="s">
        <v>93</v>
      </c>
      <c r="C28" s="96" t="s">
        <v>94</v>
      </c>
      <c r="D28" s="178" t="s">
        <v>95</v>
      </c>
      <c r="E28" s="147"/>
      <c r="F28" s="147"/>
      <c r="G28" s="82"/>
      <c r="H28" s="90"/>
      <c r="I28" s="83"/>
      <c r="J28" s="81"/>
    </row>
    <row r="29" spans="1:14" s="89" customFormat="1" ht="137.4" customHeight="1" outlineLevel="1">
      <c r="A29" s="84" t="s">
        <v>96</v>
      </c>
      <c r="B29" s="96" t="s">
        <v>97</v>
      </c>
      <c r="C29" s="96" t="s">
        <v>98</v>
      </c>
      <c r="D29" s="178" t="s">
        <v>72</v>
      </c>
      <c r="E29" s="147"/>
      <c r="F29" s="147"/>
      <c r="G29" s="82"/>
      <c r="H29" s="90"/>
      <c r="I29" s="83"/>
      <c r="J29" s="81"/>
    </row>
    <row r="30" spans="1:14" s="89" customFormat="1" ht="123.6" customHeight="1" outlineLevel="1">
      <c r="A30" s="111" t="s">
        <v>99</v>
      </c>
      <c r="B30" s="96" t="s">
        <v>100</v>
      </c>
      <c r="C30" s="96" t="s">
        <v>101</v>
      </c>
      <c r="D30" s="180" t="s">
        <v>102</v>
      </c>
      <c r="E30" s="181"/>
      <c r="F30" s="181"/>
      <c r="G30" s="112"/>
      <c r="H30" s="113"/>
      <c r="I30" s="96"/>
      <c r="J30" s="114"/>
      <c r="K30" s="99"/>
      <c r="L30" s="99"/>
      <c r="M30" s="99"/>
      <c r="N30" s="99"/>
    </row>
    <row r="31" spans="1:14" s="89" customFormat="1" ht="136.19999999999999" customHeight="1" outlineLevel="1">
      <c r="A31" s="101" t="s">
        <v>103</v>
      </c>
      <c r="B31" s="101" t="s">
        <v>104</v>
      </c>
      <c r="C31" s="101" t="s">
        <v>105</v>
      </c>
      <c r="D31" s="152" t="s">
        <v>102</v>
      </c>
      <c r="E31" s="153"/>
      <c r="F31" s="182"/>
      <c r="G31" s="115"/>
      <c r="H31" s="115"/>
      <c r="I31" s="115"/>
      <c r="J31" s="115"/>
    </row>
    <row r="32" spans="1:14" s="4" customFormat="1" ht="144" customHeight="1">
      <c r="A32" s="101" t="s">
        <v>106</v>
      </c>
      <c r="B32" s="101" t="s">
        <v>107</v>
      </c>
      <c r="C32" s="101" t="s">
        <v>108</v>
      </c>
      <c r="D32" s="152" t="s">
        <v>102</v>
      </c>
      <c r="E32" s="153"/>
      <c r="F32" s="182"/>
      <c r="G32" s="115"/>
      <c r="H32" s="115"/>
      <c r="I32" s="115"/>
      <c r="J32" s="115"/>
    </row>
    <row r="33" spans="1:10" s="4" customFormat="1" ht="144" customHeight="1" outlineLevel="1">
      <c r="A33" s="101" t="s">
        <v>109</v>
      </c>
      <c r="B33" s="101" t="s">
        <v>110</v>
      </c>
      <c r="C33" s="101" t="s">
        <v>111</v>
      </c>
      <c r="D33" s="152" t="s">
        <v>102</v>
      </c>
      <c r="E33" s="153"/>
      <c r="F33" s="182"/>
      <c r="G33" s="115"/>
      <c r="H33" s="115"/>
      <c r="I33" s="115"/>
      <c r="J33" s="115"/>
    </row>
    <row r="34" spans="1:10" s="89" customFormat="1" ht="133.94999999999999" customHeight="1" outlineLevel="1">
      <c r="A34" s="84" t="s">
        <v>112</v>
      </c>
      <c r="B34" s="96" t="s">
        <v>113</v>
      </c>
      <c r="C34" s="96" t="s">
        <v>114</v>
      </c>
      <c r="D34" s="178" t="s">
        <v>72</v>
      </c>
      <c r="E34" s="147"/>
      <c r="F34" s="147"/>
      <c r="G34" s="82"/>
      <c r="H34" s="90"/>
      <c r="I34" s="83"/>
      <c r="J34" s="81"/>
    </row>
    <row r="35" spans="1:10" s="89" customFormat="1" ht="87.75" customHeight="1" outlineLevel="1">
      <c r="A35" s="84" t="s">
        <v>112</v>
      </c>
      <c r="B35" s="96" t="s">
        <v>115</v>
      </c>
      <c r="C35" s="96" t="s">
        <v>116</v>
      </c>
      <c r="D35" s="178" t="s">
        <v>117</v>
      </c>
      <c r="E35" s="147"/>
      <c r="F35" s="147"/>
      <c r="G35" s="82"/>
      <c r="H35" s="90"/>
      <c r="I35" s="83"/>
      <c r="J35" s="81"/>
    </row>
    <row r="36" spans="1:10" s="89" customFormat="1" ht="87.75" customHeight="1" outlineLevel="1">
      <c r="A36" s="84" t="s">
        <v>112</v>
      </c>
      <c r="B36" s="96" t="s">
        <v>118</v>
      </c>
      <c r="C36" s="96" t="s">
        <v>119</v>
      </c>
      <c r="D36" s="178" t="s">
        <v>120</v>
      </c>
      <c r="E36" s="147"/>
      <c r="F36" s="147"/>
      <c r="G36" s="82"/>
      <c r="H36" s="90"/>
      <c r="I36" s="83"/>
      <c r="J36" s="81"/>
    </row>
    <row r="37" spans="1:10" s="89" customFormat="1" ht="74.25" customHeight="1" outlineLevel="1">
      <c r="A37" s="84" t="s">
        <v>121</v>
      </c>
      <c r="B37" s="96" t="s">
        <v>122</v>
      </c>
      <c r="C37" s="96" t="s">
        <v>123</v>
      </c>
      <c r="D37" s="178" t="s">
        <v>124</v>
      </c>
      <c r="E37" s="147"/>
      <c r="F37" s="147"/>
      <c r="G37" s="82"/>
      <c r="H37" s="90"/>
      <c r="I37" s="83"/>
      <c r="J37" s="81"/>
    </row>
    <row r="38" spans="1:10" s="89" customFormat="1" ht="73.5" customHeight="1" outlineLevel="1">
      <c r="A38" s="84" t="s">
        <v>125</v>
      </c>
      <c r="B38" s="96" t="s">
        <v>126</v>
      </c>
      <c r="C38" s="96" t="s">
        <v>127</v>
      </c>
      <c r="D38" s="178" t="s">
        <v>128</v>
      </c>
      <c r="E38" s="147"/>
      <c r="F38" s="147"/>
      <c r="G38" s="82"/>
      <c r="H38" s="90"/>
      <c r="I38" s="83"/>
      <c r="J38" s="81"/>
    </row>
    <row r="39" spans="1:10" s="89" customFormat="1" ht="87.75" customHeight="1" outlineLevel="1">
      <c r="A39" s="84" t="s">
        <v>125</v>
      </c>
      <c r="B39" s="96" t="s">
        <v>129</v>
      </c>
      <c r="C39" s="96" t="s">
        <v>130</v>
      </c>
      <c r="D39" s="178" t="s">
        <v>131</v>
      </c>
      <c r="E39" s="147"/>
      <c r="F39" s="147"/>
      <c r="G39" s="82"/>
      <c r="H39" s="90"/>
      <c r="I39" s="83"/>
      <c r="J39" s="81"/>
    </row>
    <row r="40" spans="1:10" s="89" customFormat="1" ht="84" customHeight="1" outlineLevel="1">
      <c r="A40" s="84" t="s">
        <v>125</v>
      </c>
      <c r="B40" s="96" t="s">
        <v>132</v>
      </c>
      <c r="C40" s="96" t="s">
        <v>133</v>
      </c>
      <c r="D40" s="178" t="s">
        <v>134</v>
      </c>
      <c r="E40" s="147"/>
      <c r="F40" s="147"/>
      <c r="G40" s="82"/>
      <c r="H40" s="90"/>
      <c r="I40" s="83"/>
      <c r="J40" s="81"/>
    </row>
    <row r="41" spans="1:10" s="4" customFormat="1" ht="22.95" customHeight="1">
      <c r="A41" s="149" t="s">
        <v>135</v>
      </c>
      <c r="B41" s="150"/>
      <c r="C41" s="150"/>
      <c r="D41" s="150"/>
      <c r="E41" s="150"/>
      <c r="F41" s="150"/>
      <c r="G41" s="150"/>
      <c r="H41" s="150"/>
      <c r="I41" s="150"/>
      <c r="J41" s="151"/>
    </row>
    <row r="42" spans="1:10" s="89" customFormat="1" ht="27.75" customHeight="1" outlineLevel="1">
      <c r="A42" s="116" t="s">
        <v>136</v>
      </c>
      <c r="B42" s="116" t="s">
        <v>137</v>
      </c>
      <c r="C42" s="101" t="s">
        <v>138</v>
      </c>
      <c r="D42" s="148" t="s">
        <v>139</v>
      </c>
      <c r="E42" s="148"/>
      <c r="F42" s="148"/>
      <c r="G42" s="106"/>
      <c r="H42" s="106"/>
      <c r="I42" s="101" t="s">
        <v>29</v>
      </c>
      <c r="J42" s="90"/>
    </row>
    <row r="43" spans="1:10" s="89" customFormat="1" ht="27.75" customHeight="1" outlineLevel="1">
      <c r="A43" s="116" t="s">
        <v>140</v>
      </c>
      <c r="B43" s="116" t="s">
        <v>141</v>
      </c>
      <c r="C43" s="101" t="s">
        <v>142</v>
      </c>
      <c r="D43" s="148" t="s">
        <v>143</v>
      </c>
      <c r="E43" s="148"/>
      <c r="F43" s="148"/>
      <c r="G43" s="106"/>
      <c r="H43" s="107"/>
      <c r="I43" s="101" t="s">
        <v>29</v>
      </c>
      <c r="J43" s="90"/>
    </row>
    <row r="44" spans="1:10" s="89" customFormat="1" ht="81" customHeight="1" outlineLevel="1">
      <c r="A44" s="116" t="s">
        <v>144</v>
      </c>
      <c r="B44" s="116" t="s">
        <v>145</v>
      </c>
      <c r="C44" s="101" t="s">
        <v>146</v>
      </c>
      <c r="D44" s="148" t="s">
        <v>147</v>
      </c>
      <c r="E44" s="148"/>
      <c r="F44" s="148"/>
      <c r="G44" s="106"/>
      <c r="H44" s="107"/>
      <c r="I44" s="108"/>
      <c r="J44" s="90"/>
    </row>
    <row r="45" spans="1:10" s="4" customFormat="1" ht="12.75" customHeight="1">
      <c r="A45" s="116" t="s">
        <v>148</v>
      </c>
      <c r="B45" s="116" t="s">
        <v>149</v>
      </c>
      <c r="C45" s="101" t="s">
        <v>150</v>
      </c>
      <c r="D45" s="148" t="s">
        <v>151</v>
      </c>
      <c r="E45" s="148"/>
      <c r="F45" s="148"/>
      <c r="G45" s="106"/>
      <c r="H45" s="109"/>
      <c r="I45" s="110"/>
      <c r="J45" s="90"/>
    </row>
    <row r="46" spans="1:10" s="4" customFormat="1" ht="12.75" customHeight="1" outlineLevel="1">
      <c r="A46" s="116" t="s">
        <v>152</v>
      </c>
      <c r="B46" s="116" t="s">
        <v>153</v>
      </c>
      <c r="C46" s="101" t="s">
        <v>154</v>
      </c>
      <c r="D46" s="148" t="s">
        <v>155</v>
      </c>
      <c r="E46" s="148"/>
      <c r="F46" s="148"/>
      <c r="G46" s="97"/>
      <c r="H46" s="97"/>
      <c r="I46" s="97"/>
      <c r="J46" s="98"/>
    </row>
    <row r="47" spans="1:10" s="89" customFormat="1" ht="87.75" customHeight="1" outlineLevel="1">
      <c r="A47" s="116" t="s">
        <v>156</v>
      </c>
      <c r="B47" s="116" t="s">
        <v>157</v>
      </c>
      <c r="C47" s="101" t="s">
        <v>158</v>
      </c>
      <c r="D47" s="148" t="s">
        <v>159</v>
      </c>
      <c r="E47" s="148"/>
      <c r="F47" s="148"/>
      <c r="G47" s="97"/>
      <c r="H47" s="97"/>
      <c r="I47" s="97"/>
      <c r="J47" s="98"/>
    </row>
    <row r="48" spans="1:10" s="89" customFormat="1" ht="87.75" customHeight="1" outlineLevel="1">
      <c r="A48" s="116" t="s">
        <v>160</v>
      </c>
      <c r="B48" s="116" t="s">
        <v>161</v>
      </c>
      <c r="C48" s="101" t="s">
        <v>162</v>
      </c>
      <c r="D48" s="148" t="s">
        <v>163</v>
      </c>
      <c r="E48" s="148"/>
      <c r="F48" s="148"/>
      <c r="G48" s="106"/>
      <c r="H48" s="109"/>
      <c r="I48" s="110" t="s">
        <v>29</v>
      </c>
      <c r="J48" s="90"/>
    </row>
    <row r="49" spans="1:10" s="4" customFormat="1" ht="51" customHeight="1" outlineLevel="1">
      <c r="A49" s="116" t="s">
        <v>164</v>
      </c>
      <c r="B49" s="116" t="s">
        <v>165</v>
      </c>
      <c r="C49" s="101" t="s">
        <v>166</v>
      </c>
      <c r="D49" s="148" t="s">
        <v>167</v>
      </c>
      <c r="E49" s="148"/>
      <c r="F49" s="148"/>
      <c r="G49" s="106"/>
      <c r="H49" s="109"/>
      <c r="I49" s="110" t="s">
        <v>29</v>
      </c>
      <c r="J49" s="90"/>
    </row>
    <row r="50" spans="1:10" s="89" customFormat="1" ht="87.75" customHeight="1" outlineLevel="1">
      <c r="A50" s="116" t="s">
        <v>168</v>
      </c>
      <c r="B50" s="116" t="s">
        <v>169</v>
      </c>
      <c r="C50" s="101" t="s">
        <v>170</v>
      </c>
      <c r="D50" s="148" t="s">
        <v>171</v>
      </c>
      <c r="E50" s="148"/>
      <c r="F50" s="148"/>
      <c r="G50" s="106"/>
      <c r="H50" s="109"/>
      <c r="I50" s="110" t="s">
        <v>29</v>
      </c>
      <c r="J50" s="90"/>
    </row>
    <row r="51" spans="1:10" s="89" customFormat="1" ht="87.75" customHeight="1" outlineLevel="1">
      <c r="A51" s="116" t="s">
        <v>172</v>
      </c>
      <c r="B51" s="116" t="s">
        <v>173</v>
      </c>
      <c r="C51" s="101" t="s">
        <v>174</v>
      </c>
      <c r="D51" s="148" t="s">
        <v>175</v>
      </c>
      <c r="E51" s="148"/>
      <c r="F51" s="148"/>
      <c r="G51" s="106"/>
      <c r="H51" s="109"/>
      <c r="I51" s="110" t="s">
        <v>29</v>
      </c>
      <c r="J51" s="90"/>
    </row>
    <row r="52" spans="1:10" s="4" customFormat="1" ht="51" customHeight="1" outlineLevel="1">
      <c r="A52" s="116" t="s">
        <v>176</v>
      </c>
      <c r="B52" s="116" t="s">
        <v>177</v>
      </c>
      <c r="C52" s="101" t="s">
        <v>178</v>
      </c>
      <c r="D52" s="148" t="s">
        <v>179</v>
      </c>
      <c r="E52" s="148"/>
      <c r="F52" s="148"/>
      <c r="G52" s="106"/>
      <c r="H52" s="109"/>
      <c r="I52" s="110" t="s">
        <v>29</v>
      </c>
      <c r="J52" s="90"/>
    </row>
    <row r="53" spans="1:10" s="89" customFormat="1" ht="87.75" customHeight="1" outlineLevel="1">
      <c r="A53" s="116" t="s">
        <v>180</v>
      </c>
      <c r="B53" s="116" t="s">
        <v>181</v>
      </c>
      <c r="C53" s="101" t="s">
        <v>182</v>
      </c>
      <c r="D53" s="148" t="s">
        <v>183</v>
      </c>
      <c r="E53" s="148"/>
      <c r="F53" s="148"/>
      <c r="G53" s="106"/>
      <c r="H53" s="109"/>
      <c r="I53" s="110" t="s">
        <v>29</v>
      </c>
      <c r="J53" s="90"/>
    </row>
    <row r="54" spans="1:10" s="89" customFormat="1" ht="87.75" customHeight="1" outlineLevel="1">
      <c r="A54" s="116" t="s">
        <v>184</v>
      </c>
      <c r="B54" s="116" t="s">
        <v>185</v>
      </c>
      <c r="C54" s="101" t="s">
        <v>186</v>
      </c>
      <c r="D54" s="148" t="s">
        <v>187</v>
      </c>
      <c r="E54" s="148"/>
      <c r="F54" s="148"/>
      <c r="G54" s="106"/>
      <c r="H54" s="109"/>
      <c r="I54" s="110" t="s">
        <v>29</v>
      </c>
      <c r="J54" s="90"/>
    </row>
    <row r="55" spans="1:10" s="4" customFormat="1" ht="22.95" customHeight="1">
      <c r="A55" s="149" t="s">
        <v>188</v>
      </c>
      <c r="B55" s="150"/>
      <c r="C55" s="150"/>
      <c r="D55" s="150"/>
      <c r="E55" s="150"/>
      <c r="F55" s="150"/>
      <c r="G55" s="150"/>
      <c r="H55" s="150"/>
      <c r="I55" s="150"/>
      <c r="J55" s="151"/>
    </row>
    <row r="56" spans="1:10" s="89" customFormat="1" ht="39.6" outlineLevel="1">
      <c r="A56" s="120" t="s">
        <v>41</v>
      </c>
      <c r="B56" s="121" t="s">
        <v>189</v>
      </c>
      <c r="C56" s="121" t="s">
        <v>190</v>
      </c>
      <c r="D56" s="152" t="s">
        <v>191</v>
      </c>
      <c r="E56" s="153"/>
      <c r="F56" s="153"/>
      <c r="G56" s="106"/>
      <c r="H56" s="117"/>
      <c r="I56" s="118" t="s">
        <v>31</v>
      </c>
      <c r="J56" s="119"/>
    </row>
    <row r="57" spans="1:10" s="4" customFormat="1" ht="39.6" outlineLevel="1">
      <c r="A57" s="120" t="s">
        <v>45</v>
      </c>
      <c r="B57" s="121" t="s">
        <v>192</v>
      </c>
      <c r="C57" s="121" t="s">
        <v>193</v>
      </c>
      <c r="D57" s="152" t="s">
        <v>194</v>
      </c>
      <c r="E57" s="153"/>
      <c r="F57" s="153"/>
      <c r="G57" s="106"/>
      <c r="H57" s="117"/>
      <c r="I57" s="118" t="s">
        <v>29</v>
      </c>
      <c r="J57" s="119"/>
    </row>
    <row r="58" spans="1:10" s="4" customFormat="1" ht="39.6" outlineLevel="1">
      <c r="A58" s="120" t="s">
        <v>49</v>
      </c>
      <c r="B58" s="121" t="s">
        <v>195</v>
      </c>
      <c r="C58" s="121" t="s">
        <v>196</v>
      </c>
      <c r="D58" s="152" t="s">
        <v>194</v>
      </c>
      <c r="E58" s="153"/>
      <c r="F58" s="153"/>
      <c r="G58" s="106"/>
      <c r="H58" s="117"/>
      <c r="I58" s="118" t="s">
        <v>29</v>
      </c>
      <c r="J58" s="119"/>
    </row>
    <row r="59" spans="1:10" s="4" customFormat="1" ht="39.6" outlineLevel="1">
      <c r="A59" s="120" t="s">
        <v>51</v>
      </c>
      <c r="B59" s="121" t="s">
        <v>197</v>
      </c>
      <c r="C59" s="121" t="s">
        <v>198</v>
      </c>
      <c r="D59" s="152" t="s">
        <v>199</v>
      </c>
      <c r="E59" s="153"/>
      <c r="F59" s="153"/>
      <c r="G59" s="106"/>
      <c r="H59" s="117"/>
      <c r="I59" s="118" t="s">
        <v>31</v>
      </c>
      <c r="J59" s="119"/>
    </row>
    <row r="60" spans="1:10" s="89" customFormat="1" ht="39.6" customHeight="1" outlineLevel="1">
      <c r="A60" s="120" t="s">
        <v>55</v>
      </c>
      <c r="B60" s="121" t="s">
        <v>200</v>
      </c>
      <c r="C60" s="121" t="s">
        <v>201</v>
      </c>
      <c r="D60" s="152" t="s">
        <v>202</v>
      </c>
      <c r="E60" s="153"/>
      <c r="F60" s="153"/>
      <c r="G60" s="106"/>
      <c r="H60" s="117"/>
      <c r="I60" s="118" t="s">
        <v>31</v>
      </c>
      <c r="J60" s="119"/>
    </row>
    <row r="61" spans="1:10" s="4" customFormat="1" ht="39.6" outlineLevel="1">
      <c r="A61" s="120" t="s">
        <v>59</v>
      </c>
      <c r="B61" s="121" t="s">
        <v>203</v>
      </c>
      <c r="C61" s="121" t="s">
        <v>204</v>
      </c>
      <c r="D61" s="152" t="s">
        <v>205</v>
      </c>
      <c r="E61" s="153"/>
      <c r="F61" s="153"/>
      <c r="G61" s="106"/>
      <c r="H61" s="117"/>
      <c r="I61" s="118" t="s">
        <v>29</v>
      </c>
      <c r="J61" s="119"/>
    </row>
    <row r="62" spans="1:10" s="4" customFormat="1" ht="39.6" outlineLevel="1">
      <c r="A62" s="120" t="s">
        <v>63</v>
      </c>
      <c r="B62" s="121" t="s">
        <v>206</v>
      </c>
      <c r="C62" s="121" t="s">
        <v>207</v>
      </c>
      <c r="D62" s="152" t="s">
        <v>205</v>
      </c>
      <c r="E62" s="153"/>
      <c r="F62" s="153"/>
      <c r="G62" s="106"/>
      <c r="H62" s="117"/>
      <c r="I62" s="118" t="s">
        <v>29</v>
      </c>
      <c r="J62" s="119"/>
    </row>
    <row r="63" spans="1:10" s="4" customFormat="1" ht="39.6" outlineLevel="1">
      <c r="A63" s="120" t="s">
        <v>65</v>
      </c>
      <c r="B63" s="121" t="s">
        <v>208</v>
      </c>
      <c r="C63" s="121" t="s">
        <v>209</v>
      </c>
      <c r="D63" s="152" t="s">
        <v>205</v>
      </c>
      <c r="E63" s="153"/>
      <c r="F63" s="153"/>
      <c r="G63" s="106"/>
      <c r="H63" s="117"/>
      <c r="I63" s="118" t="s">
        <v>29</v>
      </c>
      <c r="J63" s="119"/>
    </row>
    <row r="64" spans="1:10" s="89" customFormat="1" ht="26.4" outlineLevel="1">
      <c r="A64" s="120" t="s">
        <v>69</v>
      </c>
      <c r="B64" s="121" t="s">
        <v>210</v>
      </c>
      <c r="C64" s="121" t="s">
        <v>211</v>
      </c>
      <c r="D64" s="152" t="s">
        <v>212</v>
      </c>
      <c r="E64" s="153"/>
      <c r="F64" s="153"/>
      <c r="G64" s="106"/>
      <c r="H64" s="117"/>
      <c r="I64" s="118" t="s">
        <v>31</v>
      </c>
      <c r="J64" s="119"/>
    </row>
    <row r="65" spans="1:10" s="4" customFormat="1" ht="26.4" outlineLevel="1">
      <c r="A65" s="120" t="s">
        <v>213</v>
      </c>
      <c r="B65" s="121" t="s">
        <v>214</v>
      </c>
      <c r="C65" s="121" t="s">
        <v>215</v>
      </c>
      <c r="D65" s="152" t="s">
        <v>212</v>
      </c>
      <c r="E65" s="153"/>
      <c r="F65" s="153"/>
      <c r="G65" s="106"/>
      <c r="H65" s="117"/>
      <c r="I65" s="118" t="s">
        <v>31</v>
      </c>
      <c r="J65" s="119"/>
    </row>
    <row r="66" spans="1:10" s="4" customFormat="1" ht="26.4" outlineLevel="1">
      <c r="A66" s="120" t="s">
        <v>76</v>
      </c>
      <c r="B66" s="121" t="s">
        <v>216</v>
      </c>
      <c r="C66" s="121" t="s">
        <v>217</v>
      </c>
      <c r="D66" s="152" t="s">
        <v>205</v>
      </c>
      <c r="E66" s="153"/>
      <c r="F66" s="153"/>
      <c r="G66" s="106"/>
      <c r="H66" s="117"/>
      <c r="I66" s="118" t="s">
        <v>29</v>
      </c>
      <c r="J66" s="119"/>
    </row>
    <row r="67" spans="1:10" s="4" customFormat="1" ht="26.4" outlineLevel="1">
      <c r="A67" s="120" t="s">
        <v>80</v>
      </c>
      <c r="B67" s="121" t="s">
        <v>218</v>
      </c>
      <c r="C67" s="121" t="s">
        <v>219</v>
      </c>
      <c r="D67" s="152" t="s">
        <v>212</v>
      </c>
      <c r="E67" s="153"/>
      <c r="F67" s="153"/>
      <c r="G67" s="106"/>
      <c r="H67" s="117"/>
      <c r="I67" s="118" t="s">
        <v>31</v>
      </c>
      <c r="J67" s="119"/>
    </row>
    <row r="68" spans="1:10" s="89" customFormat="1" ht="39.6" customHeight="1" outlineLevel="1">
      <c r="A68" s="120" t="s">
        <v>84</v>
      </c>
      <c r="B68" s="121" t="s">
        <v>220</v>
      </c>
      <c r="C68" s="121" t="s">
        <v>221</v>
      </c>
      <c r="D68" s="152" t="s">
        <v>212</v>
      </c>
      <c r="E68" s="153"/>
      <c r="F68" s="153"/>
      <c r="G68" s="106"/>
      <c r="H68" s="117"/>
      <c r="I68" s="118" t="s">
        <v>31</v>
      </c>
      <c r="J68" s="119"/>
    </row>
    <row r="69" spans="1:10" s="4" customFormat="1" ht="39.6" outlineLevel="1">
      <c r="A69" s="120" t="s">
        <v>88</v>
      </c>
      <c r="B69" s="121" t="s">
        <v>222</v>
      </c>
      <c r="C69" s="121" t="s">
        <v>223</v>
      </c>
      <c r="D69" s="152" t="s">
        <v>224</v>
      </c>
      <c r="E69" s="153"/>
      <c r="F69" s="153"/>
      <c r="G69" s="106"/>
      <c r="H69" s="117"/>
      <c r="I69" s="118" t="s">
        <v>31</v>
      </c>
      <c r="J69" s="119"/>
    </row>
    <row r="70" spans="1:10" s="4" customFormat="1" ht="39.6" outlineLevel="1">
      <c r="A70" s="120" t="s">
        <v>92</v>
      </c>
      <c r="B70" s="121" t="s">
        <v>225</v>
      </c>
      <c r="C70" s="121" t="s">
        <v>226</v>
      </c>
      <c r="D70" s="152" t="s">
        <v>205</v>
      </c>
      <c r="E70" s="153"/>
      <c r="F70" s="153"/>
      <c r="G70" s="106"/>
      <c r="H70" s="117"/>
      <c r="I70" s="118" t="s">
        <v>29</v>
      </c>
      <c r="J70" s="119"/>
    </row>
    <row r="71" spans="1:10" s="4" customFormat="1" ht="39.6" outlineLevel="1">
      <c r="A71" s="120" t="s">
        <v>96</v>
      </c>
      <c r="B71" s="121" t="s">
        <v>227</v>
      </c>
      <c r="C71" s="121" t="s">
        <v>228</v>
      </c>
      <c r="D71" s="152" t="s">
        <v>205</v>
      </c>
      <c r="E71" s="153"/>
      <c r="F71" s="153"/>
      <c r="G71" s="106"/>
      <c r="H71" s="117"/>
      <c r="I71" s="118" t="s">
        <v>29</v>
      </c>
      <c r="J71" s="119"/>
    </row>
    <row r="72" spans="1:10" s="4" customFormat="1" ht="39.6" outlineLevel="1">
      <c r="A72" s="120" t="s">
        <v>99</v>
      </c>
      <c r="B72" s="121" t="s">
        <v>229</v>
      </c>
      <c r="C72" s="121" t="s">
        <v>228</v>
      </c>
      <c r="D72" s="152" t="s">
        <v>205</v>
      </c>
      <c r="E72" s="153"/>
      <c r="F72" s="153"/>
      <c r="G72" s="106"/>
      <c r="H72" s="117"/>
      <c r="I72" s="118" t="s">
        <v>29</v>
      </c>
      <c r="J72" s="119"/>
    </row>
    <row r="73" spans="1:10" s="4" customFormat="1" ht="13.95" customHeight="1" outlineLevel="1">
      <c r="A73" s="149" t="s">
        <v>230</v>
      </c>
      <c r="B73" s="150"/>
      <c r="C73" s="150"/>
      <c r="D73" s="150"/>
      <c r="E73" s="150"/>
      <c r="F73" s="150"/>
      <c r="G73" s="150"/>
      <c r="H73" s="150"/>
      <c r="I73" s="150"/>
      <c r="J73" s="151"/>
    </row>
    <row r="74" spans="1:10" s="89" customFormat="1" ht="56.25" customHeight="1" outlineLevel="1">
      <c r="A74" s="84" t="s">
        <v>103</v>
      </c>
      <c r="B74" s="88" t="s">
        <v>231</v>
      </c>
      <c r="C74" s="88" t="s">
        <v>232</v>
      </c>
      <c r="D74" s="146" t="s">
        <v>233</v>
      </c>
      <c r="E74" s="147"/>
      <c r="F74" s="147"/>
      <c r="G74" s="122" t="s">
        <v>234</v>
      </c>
      <c r="H74" s="124" t="s">
        <v>234</v>
      </c>
      <c r="I74" s="108" t="s">
        <v>29</v>
      </c>
      <c r="J74"/>
    </row>
    <row r="75" spans="1:10" s="89" customFormat="1" ht="57" customHeight="1" outlineLevel="1">
      <c r="A75" s="84" t="s">
        <v>106</v>
      </c>
      <c r="B75" s="88" t="s">
        <v>235</v>
      </c>
      <c r="C75" s="88" t="s">
        <v>236</v>
      </c>
      <c r="D75" s="146" t="s">
        <v>233</v>
      </c>
      <c r="E75" s="147"/>
      <c r="F75" s="147"/>
      <c r="G75" s="122" t="s">
        <v>237</v>
      </c>
      <c r="H75" s="124" t="s">
        <v>237</v>
      </c>
      <c r="I75" s="108" t="s">
        <v>29</v>
      </c>
      <c r="J75"/>
    </row>
    <row r="76" spans="1:10" s="4" customFormat="1" ht="67.5" customHeight="1">
      <c r="A76" s="84" t="s">
        <v>109</v>
      </c>
      <c r="B76" s="88" t="s">
        <v>238</v>
      </c>
      <c r="C76" s="88" t="s">
        <v>239</v>
      </c>
      <c r="D76" s="146" t="s">
        <v>240</v>
      </c>
      <c r="E76" s="147"/>
      <c r="F76" s="147"/>
      <c r="G76" s="122" t="s">
        <v>241</v>
      </c>
      <c r="H76" s="124" t="s">
        <v>241</v>
      </c>
      <c r="I76" s="123" t="s">
        <v>31</v>
      </c>
      <c r="J76"/>
    </row>
    <row r="77" spans="1:10" s="89" customFormat="1" ht="70.5" customHeight="1" outlineLevel="1">
      <c r="A77" s="84" t="s">
        <v>112</v>
      </c>
      <c r="B77" s="88" t="s">
        <v>242</v>
      </c>
      <c r="C77" s="88" t="s">
        <v>243</v>
      </c>
      <c r="D77" s="146" t="s">
        <v>244</v>
      </c>
      <c r="E77" s="147"/>
      <c r="F77" s="147"/>
      <c r="G77" s="122" t="s">
        <v>245</v>
      </c>
      <c r="H77" s="124" t="s">
        <v>245</v>
      </c>
      <c r="I77" s="123" t="s">
        <v>31</v>
      </c>
      <c r="J77"/>
    </row>
    <row r="78" spans="1:10" s="89" customFormat="1" ht="54.75" customHeight="1" outlineLevel="1">
      <c r="A78" s="84" t="s">
        <v>121</v>
      </c>
      <c r="B78" s="88" t="s">
        <v>246</v>
      </c>
      <c r="C78" s="88" t="s">
        <v>247</v>
      </c>
      <c r="D78" s="146" t="s">
        <v>248</v>
      </c>
      <c r="E78" s="147"/>
      <c r="F78" s="147"/>
      <c r="G78" s="122" t="s">
        <v>249</v>
      </c>
      <c r="H78" s="124" t="s">
        <v>249</v>
      </c>
      <c r="I78" s="123" t="s">
        <v>31</v>
      </c>
      <c r="J78"/>
    </row>
    <row r="79" spans="1:10" ht="12" customHeight="1">
      <c r="A79" s="149" t="s">
        <v>261</v>
      </c>
      <c r="B79" s="150"/>
      <c r="C79" s="97"/>
      <c r="D79" s="179"/>
      <c r="E79" s="179"/>
      <c r="F79" s="179"/>
      <c r="G79" s="185"/>
      <c r="H79" s="186"/>
      <c r="I79" s="186"/>
      <c r="J79" s="129"/>
    </row>
    <row r="80" spans="1:10" ht="12" customHeight="1">
      <c r="A80" s="133" t="s">
        <v>301</v>
      </c>
      <c r="B80" s="133" t="s">
        <v>302</v>
      </c>
      <c r="C80" s="133" t="s">
        <v>303</v>
      </c>
      <c r="D80" s="133" t="s">
        <v>304</v>
      </c>
      <c r="E80" s="133" t="s">
        <v>305</v>
      </c>
      <c r="F80" s="133" t="s">
        <v>306</v>
      </c>
      <c r="G80" s="125"/>
      <c r="H80" s="127"/>
      <c r="I80" s="127"/>
      <c r="J80" s="127"/>
    </row>
    <row r="81" spans="1:13" ht="12" customHeight="1">
      <c r="A81" s="134" t="s">
        <v>262</v>
      </c>
      <c r="B81" s="135" t="s">
        <v>271</v>
      </c>
      <c r="C81" s="136" t="s">
        <v>281</v>
      </c>
      <c r="D81" s="134" t="s">
        <v>291</v>
      </c>
      <c r="E81" s="134" t="s">
        <v>307</v>
      </c>
      <c r="F81" s="137" t="s">
        <v>29</v>
      </c>
      <c r="G81" s="126"/>
      <c r="H81" s="126"/>
      <c r="I81" s="128"/>
      <c r="J81" s="129"/>
    </row>
    <row r="82" spans="1:13" ht="12" customHeight="1">
      <c r="A82" s="134" t="s">
        <v>263</v>
      </c>
      <c r="B82" s="135" t="s">
        <v>272</v>
      </c>
      <c r="C82" s="134" t="s">
        <v>282</v>
      </c>
      <c r="D82" s="134" t="s">
        <v>292</v>
      </c>
      <c r="E82" s="134" t="s">
        <v>308</v>
      </c>
      <c r="F82" s="138" t="s">
        <v>31</v>
      </c>
      <c r="G82" s="126"/>
      <c r="H82" s="126"/>
      <c r="I82" s="128"/>
      <c r="J82" s="129"/>
    </row>
    <row r="83" spans="1:13" ht="12" customHeight="1">
      <c r="A83" s="134" t="s">
        <v>264</v>
      </c>
      <c r="B83" s="134" t="s">
        <v>273</v>
      </c>
      <c r="C83" s="134" t="s">
        <v>283</v>
      </c>
      <c r="D83" s="134" t="s">
        <v>293</v>
      </c>
      <c r="E83" s="134" t="s">
        <v>309</v>
      </c>
      <c r="F83" s="137" t="s">
        <v>29</v>
      </c>
      <c r="G83" s="126"/>
      <c r="H83" s="126"/>
      <c r="I83" s="128"/>
      <c r="J83" s="129"/>
    </row>
    <row r="84" spans="1:13" ht="12" customHeight="1">
      <c r="A84" s="134" t="s">
        <v>265</v>
      </c>
      <c r="B84" s="134" t="s">
        <v>274</v>
      </c>
      <c r="C84" s="134" t="s">
        <v>284</v>
      </c>
      <c r="D84" s="134" t="s">
        <v>294</v>
      </c>
      <c r="E84" s="134" t="s">
        <v>310</v>
      </c>
      <c r="F84" s="137" t="s">
        <v>29</v>
      </c>
      <c r="G84" s="125"/>
      <c r="H84" s="127"/>
      <c r="I84" s="127"/>
      <c r="J84" s="127"/>
    </row>
    <row r="85" spans="1:13" ht="12" customHeight="1">
      <c r="A85" s="134" t="s">
        <v>266</v>
      </c>
      <c r="B85" s="134" t="s">
        <v>275</v>
      </c>
      <c r="C85" s="134" t="s">
        <v>285</v>
      </c>
      <c r="D85" s="134" t="s">
        <v>295</v>
      </c>
      <c r="E85" s="134" t="s">
        <v>307</v>
      </c>
      <c r="F85" s="137" t="s">
        <v>29</v>
      </c>
      <c r="G85" s="125"/>
      <c r="H85" s="127"/>
      <c r="I85" s="127"/>
      <c r="J85" s="127"/>
    </row>
    <row r="86" spans="1:13" ht="12" customHeight="1">
      <c r="A86" s="134" t="s">
        <v>267</v>
      </c>
      <c r="B86" s="134" t="s">
        <v>276</v>
      </c>
      <c r="C86" s="134" t="s">
        <v>286</v>
      </c>
      <c r="D86" s="134" t="s">
        <v>296</v>
      </c>
      <c r="E86" s="134" t="s">
        <v>311</v>
      </c>
      <c r="F86" s="138" t="s">
        <v>31</v>
      </c>
      <c r="G86" s="126"/>
      <c r="H86" s="126"/>
      <c r="I86" s="128"/>
      <c r="J86" s="129"/>
    </row>
    <row r="87" spans="1:13" ht="12" customHeight="1">
      <c r="A87" s="134" t="s">
        <v>268</v>
      </c>
      <c r="B87" s="134" t="s">
        <v>277</v>
      </c>
      <c r="C87" s="134" t="s">
        <v>287</v>
      </c>
      <c r="D87" s="134" t="s">
        <v>297</v>
      </c>
      <c r="E87" s="134" t="s">
        <v>312</v>
      </c>
      <c r="F87" s="137" t="s">
        <v>29</v>
      </c>
      <c r="G87" s="126"/>
      <c r="H87" s="126"/>
      <c r="I87" s="128"/>
      <c r="J87" s="129"/>
    </row>
    <row r="88" spans="1:13" ht="12" customHeight="1">
      <c r="A88" s="134" t="s">
        <v>269</v>
      </c>
      <c r="B88" s="134" t="s">
        <v>278</v>
      </c>
      <c r="C88" s="134" t="s">
        <v>288</v>
      </c>
      <c r="D88" s="134" t="s">
        <v>298</v>
      </c>
      <c r="E88" s="134" t="s">
        <v>313</v>
      </c>
      <c r="F88" s="137" t="s">
        <v>29</v>
      </c>
      <c r="G88" s="125"/>
      <c r="H88" s="127"/>
      <c r="I88" s="127"/>
      <c r="J88" s="127"/>
    </row>
    <row r="89" spans="1:13" ht="12" customHeight="1">
      <c r="A89" s="134" t="s">
        <v>270</v>
      </c>
      <c r="B89" s="134" t="s">
        <v>279</v>
      </c>
      <c r="C89" s="134" t="s">
        <v>289</v>
      </c>
      <c r="D89" s="139" t="s">
        <v>299</v>
      </c>
      <c r="E89" s="134" t="s">
        <v>314</v>
      </c>
      <c r="F89" s="137" t="s">
        <v>29</v>
      </c>
      <c r="G89" s="126"/>
      <c r="H89" s="126"/>
      <c r="I89" s="128"/>
      <c r="J89" s="129"/>
    </row>
    <row r="90" spans="1:13" ht="12" customHeight="1">
      <c r="A90" s="134" t="s">
        <v>213</v>
      </c>
      <c r="B90" s="134" t="s">
        <v>280</v>
      </c>
      <c r="C90" s="134" t="s">
        <v>290</v>
      </c>
      <c r="D90" s="134" t="s">
        <v>300</v>
      </c>
      <c r="E90" s="134" t="s">
        <v>315</v>
      </c>
      <c r="F90" s="137" t="s">
        <v>29</v>
      </c>
      <c r="G90" s="126"/>
      <c r="H90" s="126"/>
      <c r="I90" s="128"/>
      <c r="J90" s="129"/>
      <c r="M90" s="94"/>
    </row>
    <row r="91" spans="1:13" ht="12" customHeight="1">
      <c r="A91" s="84"/>
      <c r="B91" s="88"/>
      <c r="C91" s="88"/>
      <c r="D91" s="146"/>
      <c r="E91" s="147"/>
      <c r="F91" s="147"/>
      <c r="G91" s="97"/>
      <c r="H91" s="127"/>
      <c r="I91" s="127"/>
      <c r="J91" s="127"/>
    </row>
    <row r="92" spans="1:13" ht="12" customHeight="1">
      <c r="A92" s="84"/>
      <c r="B92" s="88"/>
      <c r="C92" s="88"/>
      <c r="D92" s="146"/>
      <c r="E92" s="147"/>
      <c r="F92" s="147"/>
      <c r="G92" s="106"/>
      <c r="H92" s="106"/>
      <c r="I92" s="132"/>
      <c r="J92" s="131"/>
    </row>
    <row r="93" spans="1:13" ht="12" customHeight="1">
      <c r="A93" s="149" t="s">
        <v>316</v>
      </c>
      <c r="B93" s="150"/>
      <c r="C93" s="97"/>
      <c r="D93" s="179"/>
      <c r="E93" s="179"/>
      <c r="F93" s="179"/>
      <c r="G93" s="106"/>
      <c r="H93" s="106"/>
      <c r="I93" s="132"/>
      <c r="J93" s="131"/>
    </row>
    <row r="94" spans="1:13" ht="12" customHeight="1">
      <c r="A94" s="142" t="s">
        <v>301</v>
      </c>
      <c r="B94" s="142" t="s">
        <v>302</v>
      </c>
      <c r="C94" s="142" t="s">
        <v>303</v>
      </c>
      <c r="D94" s="142" t="s">
        <v>304</v>
      </c>
      <c r="E94" s="142" t="s">
        <v>305</v>
      </c>
      <c r="F94" s="142" t="s">
        <v>306</v>
      </c>
      <c r="G94" s="97"/>
      <c r="H94" s="127"/>
      <c r="I94" s="127"/>
      <c r="J94" s="127"/>
    </row>
    <row r="95" spans="1:13" ht="12" customHeight="1">
      <c r="A95" s="134" t="s">
        <v>76</v>
      </c>
      <c r="B95" s="134" t="s">
        <v>317</v>
      </c>
      <c r="C95" s="134" t="s">
        <v>318</v>
      </c>
      <c r="D95" s="134" t="s">
        <v>319</v>
      </c>
      <c r="E95" s="134" t="s">
        <v>320</v>
      </c>
      <c r="F95" s="137" t="s">
        <v>29</v>
      </c>
      <c r="G95" s="106"/>
      <c r="H95" s="106"/>
      <c r="I95" s="132"/>
      <c r="J95" s="131"/>
    </row>
    <row r="96" spans="1:13" ht="12" customHeight="1">
      <c r="A96" s="134" t="s">
        <v>80</v>
      </c>
      <c r="B96" s="134" t="s">
        <v>321</v>
      </c>
      <c r="C96" s="134" t="s">
        <v>322</v>
      </c>
      <c r="D96" s="134" t="s">
        <v>292</v>
      </c>
      <c r="E96" s="134" t="s">
        <v>323</v>
      </c>
      <c r="F96" s="137" t="s">
        <v>29</v>
      </c>
      <c r="G96" s="106"/>
      <c r="H96" s="106"/>
      <c r="I96" s="132"/>
      <c r="J96" s="131"/>
    </row>
    <row r="97" spans="1:10" ht="12" customHeight="1">
      <c r="A97" s="134" t="s">
        <v>84</v>
      </c>
      <c r="B97" s="134" t="s">
        <v>324</v>
      </c>
      <c r="C97" s="134" t="s">
        <v>325</v>
      </c>
      <c r="D97" s="143" t="s">
        <v>326</v>
      </c>
      <c r="E97" s="134" t="s">
        <v>327</v>
      </c>
      <c r="F97" s="138" t="s">
        <v>31</v>
      </c>
      <c r="G97" s="97"/>
      <c r="H97" s="127"/>
      <c r="I97" s="127"/>
      <c r="J97" s="127"/>
    </row>
    <row r="98" spans="1:10" ht="12" customHeight="1">
      <c r="A98" s="134" t="s">
        <v>88</v>
      </c>
      <c r="B98" s="134" t="s">
        <v>328</v>
      </c>
      <c r="C98" s="134" t="s">
        <v>329</v>
      </c>
      <c r="D98" s="134" t="s">
        <v>330</v>
      </c>
      <c r="E98" s="134" t="s">
        <v>331</v>
      </c>
      <c r="F98" s="137" t="s">
        <v>29</v>
      </c>
      <c r="G98" s="106"/>
      <c r="H98" s="106"/>
      <c r="I98" s="132"/>
      <c r="J98" s="131"/>
    </row>
    <row r="99" spans="1:10" ht="12" customHeight="1">
      <c r="A99" s="134" t="s">
        <v>92</v>
      </c>
      <c r="B99" s="134" t="s">
        <v>332</v>
      </c>
      <c r="C99" s="134" t="s">
        <v>333</v>
      </c>
      <c r="D99" s="134" t="s">
        <v>319</v>
      </c>
      <c r="E99" s="134" t="s">
        <v>334</v>
      </c>
      <c r="F99" s="138" t="s">
        <v>31</v>
      </c>
      <c r="G99" s="106"/>
      <c r="H99" s="106"/>
      <c r="I99" s="132"/>
      <c r="J99" s="131"/>
    </row>
    <row r="100" spans="1:10" ht="12" customHeight="1">
      <c r="A100" s="134" t="s">
        <v>96</v>
      </c>
      <c r="B100" s="134" t="s">
        <v>335</v>
      </c>
      <c r="C100" s="134" t="s">
        <v>336</v>
      </c>
      <c r="D100" s="134" t="s">
        <v>337</v>
      </c>
      <c r="E100" s="134" t="s">
        <v>338</v>
      </c>
      <c r="F100" s="138" t="s">
        <v>31</v>
      </c>
      <c r="I100" s="19"/>
      <c r="J100"/>
    </row>
    <row r="101" spans="1:10" ht="12" customHeight="1">
      <c r="A101" s="134" t="s">
        <v>99</v>
      </c>
      <c r="B101" s="134" t="s">
        <v>339</v>
      </c>
      <c r="C101" s="134" t="s">
        <v>340</v>
      </c>
      <c r="D101" s="134" t="s">
        <v>341</v>
      </c>
      <c r="E101" s="134" t="s">
        <v>342</v>
      </c>
      <c r="F101" s="137" t="s">
        <v>29</v>
      </c>
      <c r="I101" s="19"/>
      <c r="J101"/>
    </row>
    <row r="102" spans="1:10" ht="12" customHeight="1">
      <c r="A102" s="134" t="s">
        <v>103</v>
      </c>
      <c r="B102" s="134" t="s">
        <v>343</v>
      </c>
      <c r="C102" s="134" t="s">
        <v>344</v>
      </c>
      <c r="D102" s="134" t="s">
        <v>345</v>
      </c>
      <c r="E102" s="134" t="s">
        <v>346</v>
      </c>
      <c r="F102" s="137" t="s">
        <v>29</v>
      </c>
      <c r="I102" s="19"/>
      <c r="J102"/>
    </row>
    <row r="103" spans="1:10" ht="12" customHeight="1">
      <c r="A103" s="134" t="s">
        <v>106</v>
      </c>
      <c r="B103" s="134" t="s">
        <v>347</v>
      </c>
      <c r="C103" s="134" t="s">
        <v>348</v>
      </c>
      <c r="D103" s="134" t="s">
        <v>292</v>
      </c>
      <c r="E103" s="134" t="s">
        <v>349</v>
      </c>
      <c r="F103" s="137" t="s">
        <v>29</v>
      </c>
      <c r="I103" s="19"/>
      <c r="J103"/>
    </row>
    <row r="104" spans="1:10" ht="12" customHeight="1">
      <c r="A104" s="134" t="s">
        <v>109</v>
      </c>
      <c r="B104" s="134" t="s">
        <v>350</v>
      </c>
      <c r="C104" s="134" t="s">
        <v>353</v>
      </c>
      <c r="D104" s="134" t="s">
        <v>351</v>
      </c>
      <c r="E104" s="134" t="s">
        <v>352</v>
      </c>
      <c r="F104" s="137" t="s">
        <v>29</v>
      </c>
      <c r="I104" s="19"/>
      <c r="J104"/>
    </row>
    <row r="105" spans="1:10" ht="12" customHeight="1">
      <c r="A105" s="140"/>
      <c r="B105" s="141"/>
      <c r="C105" s="141"/>
      <c r="D105" s="183"/>
      <c r="E105" s="183"/>
      <c r="F105" s="183"/>
      <c r="I105" s="19"/>
      <c r="J105"/>
    </row>
    <row r="106" spans="1:10" ht="12" customHeight="1">
      <c r="A106" s="140"/>
      <c r="B106" s="141"/>
      <c r="C106" s="141"/>
      <c r="D106" s="183"/>
      <c r="E106" s="183"/>
      <c r="F106" s="183"/>
      <c r="I106" s="19"/>
      <c r="J106"/>
    </row>
    <row r="107" spans="1:10" ht="12" customHeight="1">
      <c r="A107" s="130" t="s">
        <v>250</v>
      </c>
      <c r="B107" s="130"/>
      <c r="C107" s="130"/>
      <c r="D107" s="184"/>
      <c r="E107" s="184"/>
      <c r="F107" s="184"/>
      <c r="I107" s="19"/>
      <c r="J107"/>
    </row>
    <row r="108" spans="1:10" ht="12" customHeight="1">
      <c r="A108" s="140"/>
      <c r="B108" s="141"/>
      <c r="C108" s="141"/>
      <c r="D108" s="183"/>
      <c r="E108" s="183"/>
      <c r="F108" s="183"/>
      <c r="I108" s="19"/>
      <c r="J108"/>
    </row>
    <row r="109" spans="1:10" ht="12" customHeight="1">
      <c r="A109" s="140"/>
      <c r="B109" s="141"/>
      <c r="C109" s="141"/>
      <c r="D109" s="183"/>
      <c r="E109" s="183"/>
      <c r="F109" s="183"/>
      <c r="I109" s="19"/>
      <c r="J109"/>
    </row>
    <row r="110" spans="1:10" ht="12" customHeight="1">
      <c r="A110" s="130"/>
      <c r="B110" s="130"/>
      <c r="C110" s="130"/>
      <c r="D110" s="184"/>
      <c r="E110" s="184"/>
      <c r="F110" s="184"/>
      <c r="I110" s="19"/>
      <c r="J110"/>
    </row>
    <row r="111" spans="1:10" ht="12" customHeight="1">
      <c r="A111" s="140"/>
      <c r="B111" s="141"/>
      <c r="C111" s="141"/>
      <c r="D111" s="183"/>
      <c r="E111" s="183"/>
      <c r="F111" s="183"/>
      <c r="I111" s="19"/>
      <c r="J111"/>
    </row>
    <row r="112" spans="1:10" ht="12" customHeight="1">
      <c r="A112" s="140"/>
      <c r="B112" s="141"/>
      <c r="C112" s="141"/>
      <c r="D112" s="183"/>
      <c r="E112" s="183"/>
      <c r="F112" s="183"/>
      <c r="I112" s="19"/>
      <c r="J112"/>
    </row>
    <row r="113" spans="9:10" ht="12" customHeight="1">
      <c r="I113" s="19"/>
      <c r="J113"/>
    </row>
    <row r="114" spans="9:10" ht="12" customHeight="1">
      <c r="I114" s="19"/>
      <c r="J114"/>
    </row>
    <row r="115" spans="9:10" ht="12" customHeight="1">
      <c r="I115" s="19"/>
      <c r="J115"/>
    </row>
    <row r="116" spans="9:10" ht="12" customHeight="1">
      <c r="I116" s="19"/>
      <c r="J116"/>
    </row>
    <row r="117" spans="9:10">
      <c r="I117" s="19"/>
      <c r="J117"/>
    </row>
    <row r="118" spans="9:10">
      <c r="I118" s="19"/>
      <c r="J118"/>
    </row>
    <row r="119" spans="9:10">
      <c r="I119" s="19"/>
      <c r="J119"/>
    </row>
    <row r="120" spans="9:10">
      <c r="I120" s="19"/>
      <c r="J120"/>
    </row>
    <row r="121" spans="9:10">
      <c r="I121" s="19"/>
      <c r="J121"/>
    </row>
    <row r="122" spans="9:10">
      <c r="I122" s="19"/>
      <c r="J122"/>
    </row>
    <row r="123" spans="9:10">
      <c r="I123" s="19"/>
      <c r="J123"/>
    </row>
    <row r="124" spans="9:10">
      <c r="I124" s="19"/>
      <c r="J124"/>
    </row>
    <row r="125" spans="9:10">
      <c r="I125" s="19"/>
      <c r="J125"/>
    </row>
    <row r="126" spans="9:10">
      <c r="I126" s="19"/>
      <c r="J126"/>
    </row>
    <row r="127" spans="9:10">
      <c r="I127" s="19"/>
      <c r="J127"/>
    </row>
    <row r="128" spans="9:10">
      <c r="I128" s="19"/>
      <c r="J128"/>
    </row>
    <row r="129" spans="9:10">
      <c r="I129" s="19"/>
      <c r="J129"/>
    </row>
    <row r="130" spans="9:10">
      <c r="I130" s="19"/>
      <c r="J130"/>
    </row>
    <row r="131" spans="9:10">
      <c r="I131" s="19"/>
      <c r="J131"/>
    </row>
    <row r="132" spans="9:10">
      <c r="I132" s="19"/>
      <c r="J132"/>
    </row>
    <row r="133" spans="9:10">
      <c r="I133" s="19"/>
      <c r="J133"/>
    </row>
    <row r="134" spans="9:10">
      <c r="I134" s="19"/>
      <c r="J134"/>
    </row>
    <row r="135" spans="9:10">
      <c r="I135" s="19"/>
      <c r="J135"/>
    </row>
    <row r="136" spans="9:10">
      <c r="I136" s="19"/>
      <c r="J136"/>
    </row>
    <row r="137" spans="9:10">
      <c r="I137" s="19"/>
      <c r="J137"/>
    </row>
    <row r="138" spans="9:10">
      <c r="I138" s="19"/>
      <c r="J138"/>
    </row>
    <row r="139" spans="9:10">
      <c r="I139" s="19"/>
      <c r="J139"/>
    </row>
    <row r="140" spans="9:10">
      <c r="I140" s="19"/>
      <c r="J140"/>
    </row>
    <row r="141" spans="9:10">
      <c r="I141" s="19"/>
      <c r="J141"/>
    </row>
    <row r="142" spans="9:10">
      <c r="I142" s="19"/>
      <c r="J142"/>
    </row>
    <row r="143" spans="9:10">
      <c r="I143" s="19"/>
      <c r="J143"/>
    </row>
    <row r="144" spans="9:10">
      <c r="I144" s="19"/>
      <c r="J144"/>
    </row>
    <row r="145" spans="9:10">
      <c r="I145" s="19"/>
      <c r="J145"/>
    </row>
    <row r="146" spans="9:10">
      <c r="I146" s="19"/>
      <c r="J146"/>
    </row>
    <row r="147" spans="9:10">
      <c r="I147" s="19"/>
      <c r="J147"/>
    </row>
    <row r="148" spans="9:10">
      <c r="I148" s="19"/>
      <c r="J148"/>
    </row>
    <row r="149" spans="9:10">
      <c r="I149" s="19"/>
      <c r="J149"/>
    </row>
    <row r="150" spans="9:10">
      <c r="I150" s="19"/>
      <c r="J150"/>
    </row>
    <row r="151" spans="9:10">
      <c r="I151" s="19"/>
      <c r="J151"/>
    </row>
    <row r="152" spans="9:10">
      <c r="I152" s="19"/>
      <c r="J152"/>
    </row>
    <row r="153" spans="9:10">
      <c r="I153" s="19"/>
      <c r="J153"/>
    </row>
    <row r="154" spans="9:10">
      <c r="I154" s="19"/>
      <c r="J154"/>
    </row>
    <row r="155" spans="9:10">
      <c r="I155" s="19"/>
      <c r="J155"/>
    </row>
    <row r="156" spans="9:10">
      <c r="I156" s="19"/>
      <c r="J156"/>
    </row>
    <row r="157" spans="9:10">
      <c r="I157" s="19"/>
      <c r="J157"/>
    </row>
    <row r="158" spans="9:10">
      <c r="I158" s="19"/>
      <c r="J158"/>
    </row>
    <row r="159" spans="9:10">
      <c r="I159" s="19"/>
      <c r="J159"/>
    </row>
    <row r="160" spans="9:10">
      <c r="I160" s="19"/>
      <c r="J160"/>
    </row>
    <row r="161" spans="9:10">
      <c r="I161" s="19"/>
      <c r="J161"/>
    </row>
    <row r="162" spans="9:10">
      <c r="I162" s="19"/>
      <c r="J162"/>
    </row>
    <row r="163" spans="9:10">
      <c r="I163" s="19"/>
      <c r="J163"/>
    </row>
    <row r="164" spans="9:10">
      <c r="I164" s="19"/>
      <c r="J164"/>
    </row>
    <row r="165" spans="9:10">
      <c r="I165" s="19"/>
      <c r="J165"/>
    </row>
    <row r="166" spans="9:10">
      <c r="I166" s="19"/>
      <c r="J166"/>
    </row>
    <row r="167" spans="9:10">
      <c r="I167" s="19"/>
      <c r="J167"/>
    </row>
    <row r="168" spans="9:10">
      <c r="I168" s="19"/>
      <c r="J168"/>
    </row>
    <row r="169" spans="9:10">
      <c r="I169" s="19"/>
      <c r="J169"/>
    </row>
    <row r="170" spans="9:10">
      <c r="I170" s="19"/>
      <c r="J170"/>
    </row>
    <row r="171" spans="9:10">
      <c r="I171" s="19"/>
      <c r="J171"/>
    </row>
    <row r="172" spans="9:10">
      <c r="I172" s="19"/>
      <c r="J172"/>
    </row>
    <row r="173" spans="9:10">
      <c r="I173" s="19"/>
      <c r="J173"/>
    </row>
    <row r="174" spans="9:10">
      <c r="I174" s="19"/>
      <c r="J174"/>
    </row>
    <row r="175" spans="9:10">
      <c r="I175" s="19"/>
      <c r="J175"/>
    </row>
    <row r="176" spans="9:10">
      <c r="I176" s="19"/>
      <c r="J176"/>
    </row>
    <row r="177" spans="9:10">
      <c r="I177" s="19"/>
      <c r="J177"/>
    </row>
    <row r="178" spans="9:10">
      <c r="I178" s="19"/>
      <c r="J178"/>
    </row>
    <row r="179" spans="9:10">
      <c r="I179" s="19"/>
      <c r="J179"/>
    </row>
    <row r="180" spans="9:10">
      <c r="I180" s="19"/>
      <c r="J180"/>
    </row>
    <row r="181" spans="9:10">
      <c r="I181" s="19"/>
      <c r="J181"/>
    </row>
    <row r="182" spans="9:10">
      <c r="I182" s="19"/>
      <c r="J182"/>
    </row>
    <row r="183" spans="9:10">
      <c r="I183" s="19"/>
      <c r="J183"/>
    </row>
    <row r="184" spans="9:10">
      <c r="I184" s="19"/>
      <c r="J184"/>
    </row>
    <row r="185" spans="9:10">
      <c r="I185" s="19"/>
      <c r="J185"/>
    </row>
    <row r="186" spans="9:10">
      <c r="I186" s="19"/>
      <c r="J186"/>
    </row>
    <row r="187" spans="9:10">
      <c r="I187" s="19"/>
      <c r="J187"/>
    </row>
    <row r="188" spans="9:10">
      <c r="I188" s="19"/>
      <c r="J188"/>
    </row>
    <row r="189" spans="9:10">
      <c r="I189" s="19"/>
      <c r="J189"/>
    </row>
    <row r="190" spans="9:10">
      <c r="I190" s="19"/>
      <c r="J190"/>
    </row>
    <row r="191" spans="9:10">
      <c r="I191" s="19"/>
      <c r="J191"/>
    </row>
    <row r="192" spans="9:10">
      <c r="I192" s="19"/>
      <c r="J192"/>
    </row>
    <row r="193" spans="9:10">
      <c r="I193" s="19"/>
      <c r="J193"/>
    </row>
    <row r="194" spans="9:10">
      <c r="I194" s="19"/>
      <c r="J194"/>
    </row>
    <row r="195" spans="9:10">
      <c r="I195" s="19"/>
      <c r="J195"/>
    </row>
    <row r="196" spans="9:10">
      <c r="I196" s="19"/>
      <c r="J196"/>
    </row>
    <row r="197" spans="9:10">
      <c r="I197" s="19"/>
      <c r="J197"/>
    </row>
    <row r="198" spans="9:10">
      <c r="I198" s="19"/>
      <c r="J198"/>
    </row>
    <row r="199" spans="9:10">
      <c r="I199" s="19"/>
      <c r="J199"/>
    </row>
    <row r="200" spans="9:10">
      <c r="I200" s="19"/>
      <c r="J200"/>
    </row>
    <row r="201" spans="9:10">
      <c r="I201" s="19"/>
      <c r="J201"/>
    </row>
    <row r="202" spans="9:10">
      <c r="I202" s="19"/>
      <c r="J202"/>
    </row>
    <row r="203" spans="9:10">
      <c r="I203" s="19"/>
      <c r="J203"/>
    </row>
    <row r="204" spans="9:10">
      <c r="I204" s="19"/>
      <c r="J204"/>
    </row>
    <row r="205" spans="9:10">
      <c r="I205" s="19"/>
      <c r="J205"/>
    </row>
    <row r="206" spans="9:10">
      <c r="I206" s="19"/>
      <c r="J206"/>
    </row>
    <row r="207" spans="9:10">
      <c r="I207" s="19"/>
      <c r="J207"/>
    </row>
    <row r="208" spans="9:10">
      <c r="I208" s="19"/>
      <c r="J208"/>
    </row>
    <row r="209" spans="9:10">
      <c r="I209" s="19"/>
      <c r="J209"/>
    </row>
    <row r="210" spans="9:10">
      <c r="I210" s="19"/>
      <c r="J210"/>
    </row>
    <row r="211" spans="9:10">
      <c r="I211" s="19"/>
      <c r="J211"/>
    </row>
    <row r="212" spans="9:10">
      <c r="I212" s="19"/>
      <c r="J212"/>
    </row>
    <row r="213" spans="9:10">
      <c r="I213" s="19"/>
      <c r="J213"/>
    </row>
    <row r="214" spans="9:10">
      <c r="I214" s="19"/>
      <c r="J214"/>
    </row>
    <row r="215" spans="9:10">
      <c r="I215" s="19"/>
      <c r="J215"/>
    </row>
    <row r="216" spans="9:10">
      <c r="I216" s="19"/>
      <c r="J216"/>
    </row>
    <row r="217" spans="9:10">
      <c r="I217" s="19"/>
      <c r="J217"/>
    </row>
    <row r="218" spans="9:10">
      <c r="I218" s="19"/>
      <c r="J218"/>
    </row>
    <row r="219" spans="9:10">
      <c r="I219" s="19"/>
      <c r="J219"/>
    </row>
    <row r="220" spans="9:10">
      <c r="I220" s="19"/>
      <c r="J220"/>
    </row>
    <row r="221" spans="9:10">
      <c r="I221" s="19"/>
      <c r="J221"/>
    </row>
    <row r="222" spans="9:10">
      <c r="I222" s="19"/>
      <c r="J222"/>
    </row>
    <row r="223" spans="9:10">
      <c r="I223" s="19"/>
      <c r="J223"/>
    </row>
    <row r="224" spans="9:10">
      <c r="I224" s="19"/>
      <c r="J224"/>
    </row>
    <row r="225" spans="9:10">
      <c r="I225" s="19"/>
      <c r="J225"/>
    </row>
    <row r="226" spans="9:10">
      <c r="I226" s="19"/>
      <c r="J226"/>
    </row>
    <row r="227" spans="9:10">
      <c r="I227" s="19"/>
      <c r="J227"/>
    </row>
    <row r="228" spans="9:10">
      <c r="I228" s="19"/>
      <c r="J228"/>
    </row>
    <row r="229" spans="9:10">
      <c r="I229" s="19"/>
      <c r="J229"/>
    </row>
    <row r="230" spans="9:10">
      <c r="I230" s="19"/>
      <c r="J230"/>
    </row>
    <row r="231" spans="9:10">
      <c r="I231" s="19"/>
      <c r="J231"/>
    </row>
    <row r="232" spans="9:10">
      <c r="I232" s="19"/>
      <c r="J232"/>
    </row>
    <row r="233" spans="9:10">
      <c r="I233" s="19"/>
      <c r="J233"/>
    </row>
    <row r="234" spans="9:10">
      <c r="I234" s="19"/>
      <c r="J234"/>
    </row>
    <row r="235" spans="9:10">
      <c r="I235" s="19"/>
      <c r="J235"/>
    </row>
    <row r="236" spans="9:10">
      <c r="I236" s="19"/>
      <c r="J236"/>
    </row>
    <row r="237" spans="9:10">
      <c r="I237" s="19"/>
      <c r="J237"/>
    </row>
    <row r="238" spans="9:10">
      <c r="I238" s="19"/>
      <c r="J238"/>
    </row>
    <row r="239" spans="9:10">
      <c r="I239" s="19"/>
      <c r="J239"/>
    </row>
    <row r="240" spans="9:10">
      <c r="I240" s="19"/>
      <c r="J240"/>
    </row>
    <row r="241" spans="9:10">
      <c r="I241" s="19"/>
      <c r="J241"/>
    </row>
    <row r="242" spans="9:10">
      <c r="I242" s="19"/>
      <c r="J242"/>
    </row>
    <row r="243" spans="9:10">
      <c r="I243" s="19"/>
      <c r="J243"/>
    </row>
    <row r="244" spans="9:10">
      <c r="I244" s="19"/>
      <c r="J244"/>
    </row>
    <row r="245" spans="9:10">
      <c r="I245" s="19"/>
      <c r="J245"/>
    </row>
    <row r="246" spans="9:10">
      <c r="I246" s="19"/>
      <c r="J246"/>
    </row>
    <row r="247" spans="9:10">
      <c r="I247" s="19"/>
      <c r="J247"/>
    </row>
    <row r="248" spans="9:10">
      <c r="I248" s="19"/>
      <c r="J248"/>
    </row>
    <row r="249" spans="9:10">
      <c r="I249" s="19"/>
      <c r="J249"/>
    </row>
    <row r="250" spans="9:10">
      <c r="I250" s="19"/>
      <c r="J250"/>
    </row>
    <row r="251" spans="9:10">
      <c r="I251" s="19"/>
      <c r="J251"/>
    </row>
    <row r="252" spans="9:10">
      <c r="I252" s="19"/>
      <c r="J252"/>
    </row>
    <row r="253" spans="9:10">
      <c r="I253" s="19"/>
      <c r="J253"/>
    </row>
    <row r="254" spans="9:10">
      <c r="I254" s="19"/>
      <c r="J254"/>
    </row>
    <row r="255" spans="9:10">
      <c r="I255" s="19"/>
      <c r="J255"/>
    </row>
    <row r="256" spans="9:10">
      <c r="I256" s="19"/>
      <c r="J256"/>
    </row>
    <row r="257" spans="9:10">
      <c r="I257" s="19"/>
      <c r="J257"/>
    </row>
    <row r="258" spans="9:10">
      <c r="I258" s="19"/>
      <c r="J258"/>
    </row>
    <row r="259" spans="9:10">
      <c r="I259" s="19"/>
      <c r="J259"/>
    </row>
    <row r="260" spans="9:10">
      <c r="I260" s="19"/>
      <c r="J260"/>
    </row>
    <row r="261" spans="9:10">
      <c r="I261" s="19"/>
      <c r="J261"/>
    </row>
    <row r="262" spans="9:10">
      <c r="I262" s="19"/>
      <c r="J262"/>
    </row>
    <row r="263" spans="9:10">
      <c r="I263" s="19"/>
      <c r="J263"/>
    </row>
    <row r="264" spans="9:10">
      <c r="I264" s="19"/>
      <c r="J264"/>
    </row>
    <row r="265" spans="9:10">
      <c r="I265" s="19"/>
      <c r="J265"/>
    </row>
    <row r="266" spans="9:10">
      <c r="I266" s="19"/>
      <c r="J266"/>
    </row>
    <row r="267" spans="9:10">
      <c r="I267" s="19"/>
      <c r="J267"/>
    </row>
    <row r="268" spans="9:10">
      <c r="I268" s="19"/>
      <c r="J268"/>
    </row>
    <row r="269" spans="9:10">
      <c r="I269" s="19"/>
      <c r="J269"/>
    </row>
    <row r="270" spans="9:10">
      <c r="I270" s="19"/>
      <c r="J270"/>
    </row>
    <row r="271" spans="9:10">
      <c r="I271" s="19"/>
      <c r="J271"/>
    </row>
    <row r="272" spans="9:10">
      <c r="I272" s="19"/>
      <c r="J272"/>
    </row>
    <row r="273" spans="9:10">
      <c r="I273" s="19"/>
      <c r="J273"/>
    </row>
    <row r="274" spans="9:10">
      <c r="I274" s="19"/>
      <c r="J274"/>
    </row>
    <row r="275" spans="9:10">
      <c r="I275" s="19"/>
      <c r="J275"/>
    </row>
    <row r="276" spans="9:10">
      <c r="I276" s="19"/>
      <c r="J276"/>
    </row>
    <row r="277" spans="9:10">
      <c r="I277" s="19"/>
      <c r="J277"/>
    </row>
    <row r="278" spans="9:10">
      <c r="I278" s="19"/>
      <c r="J278"/>
    </row>
    <row r="279" spans="9:10">
      <c r="I279" s="19"/>
      <c r="J279"/>
    </row>
    <row r="280" spans="9:10">
      <c r="I280" s="19"/>
      <c r="J280"/>
    </row>
    <row r="281" spans="9:10">
      <c r="I281" s="19"/>
      <c r="J281"/>
    </row>
    <row r="282" spans="9:10">
      <c r="I282" s="19"/>
      <c r="J282"/>
    </row>
    <row r="283" spans="9:10">
      <c r="I283" s="19"/>
      <c r="J283"/>
    </row>
    <row r="284" spans="9:10">
      <c r="I284" s="19"/>
      <c r="J284"/>
    </row>
    <row r="285" spans="9:10">
      <c r="I285" s="19"/>
      <c r="J285"/>
    </row>
    <row r="286" spans="9:10">
      <c r="I286" s="19"/>
      <c r="J286"/>
    </row>
    <row r="287" spans="9:10">
      <c r="I287" s="19"/>
      <c r="J287"/>
    </row>
    <row r="288" spans="9:10">
      <c r="I288" s="19"/>
      <c r="J288"/>
    </row>
    <row r="289" spans="9:10">
      <c r="I289" s="19"/>
      <c r="J289"/>
    </row>
    <row r="290" spans="9:10">
      <c r="I290" s="19"/>
      <c r="J290"/>
    </row>
    <row r="291" spans="9:10">
      <c r="I291" s="19"/>
      <c r="J291"/>
    </row>
    <row r="292" spans="9:10">
      <c r="I292" s="19"/>
      <c r="J292"/>
    </row>
    <row r="293" spans="9:10">
      <c r="I293" s="19"/>
      <c r="J293"/>
    </row>
    <row r="294" spans="9:10">
      <c r="I294" s="19"/>
      <c r="J294"/>
    </row>
    <row r="295" spans="9:10">
      <c r="I295" s="19"/>
      <c r="J295"/>
    </row>
    <row r="296" spans="9:10">
      <c r="I296" s="19"/>
      <c r="J296"/>
    </row>
    <row r="297" spans="9:10">
      <c r="I297" s="19"/>
      <c r="J297"/>
    </row>
    <row r="298" spans="9:10">
      <c r="I298" s="19"/>
      <c r="J298"/>
    </row>
    <row r="299" spans="9:10">
      <c r="I299" s="19"/>
      <c r="J299"/>
    </row>
    <row r="300" spans="9:10">
      <c r="I300" s="19"/>
      <c r="J300"/>
    </row>
    <row r="301" spans="9:10">
      <c r="I301" s="19"/>
      <c r="J301"/>
    </row>
    <row r="302" spans="9:10">
      <c r="I302" s="19"/>
      <c r="J302"/>
    </row>
    <row r="303" spans="9:10">
      <c r="I303" s="19"/>
      <c r="J303"/>
    </row>
    <row r="304" spans="9:10">
      <c r="I304" s="19"/>
      <c r="J304"/>
    </row>
    <row r="305" spans="9:10">
      <c r="I305" s="19"/>
      <c r="J305"/>
    </row>
    <row r="306" spans="9:10">
      <c r="I306" s="19"/>
      <c r="J306"/>
    </row>
    <row r="307" spans="9:10">
      <c r="I307" s="19"/>
      <c r="J307"/>
    </row>
    <row r="308" spans="9:10">
      <c r="I308" s="19"/>
      <c r="J308"/>
    </row>
    <row r="309" spans="9:10">
      <c r="I309" s="19"/>
      <c r="J309"/>
    </row>
    <row r="310" spans="9:10">
      <c r="I310" s="19"/>
      <c r="J310"/>
    </row>
    <row r="311" spans="9:10">
      <c r="I311" s="19"/>
      <c r="J311"/>
    </row>
    <row r="312" spans="9:10">
      <c r="I312" s="19"/>
      <c r="J312"/>
    </row>
    <row r="313" spans="9:10">
      <c r="I313" s="19"/>
      <c r="J313"/>
    </row>
    <row r="314" spans="9:10">
      <c r="I314" s="19"/>
      <c r="J314"/>
    </row>
    <row r="315" spans="9:10">
      <c r="I315" s="19"/>
      <c r="J315"/>
    </row>
    <row r="316" spans="9:10">
      <c r="I316" s="19"/>
      <c r="J316"/>
    </row>
    <row r="317" spans="9:10">
      <c r="I317" s="19"/>
      <c r="J317"/>
    </row>
    <row r="318" spans="9:10">
      <c r="I318" s="19"/>
      <c r="J318"/>
    </row>
    <row r="319" spans="9:10">
      <c r="I319" s="19"/>
      <c r="J319"/>
    </row>
    <row r="320" spans="9:10">
      <c r="I320" s="19"/>
      <c r="J320"/>
    </row>
    <row r="321" spans="9:10">
      <c r="I321" s="19"/>
      <c r="J321"/>
    </row>
    <row r="322" spans="9:10">
      <c r="I322" s="19"/>
      <c r="J322"/>
    </row>
    <row r="323" spans="9:10">
      <c r="I323" s="19"/>
      <c r="J323"/>
    </row>
    <row r="324" spans="9:10">
      <c r="I324" s="19"/>
      <c r="J324"/>
    </row>
    <row r="325" spans="9:10">
      <c r="I325" s="19"/>
      <c r="J325"/>
    </row>
    <row r="326" spans="9:10">
      <c r="I326" s="19"/>
      <c r="J326"/>
    </row>
    <row r="327" spans="9:10">
      <c r="I327" s="19"/>
      <c r="J327"/>
    </row>
    <row r="328" spans="9:10">
      <c r="I328" s="19"/>
      <c r="J328"/>
    </row>
    <row r="329" spans="9:10">
      <c r="I329" s="19"/>
      <c r="J329"/>
    </row>
    <row r="330" spans="9:10">
      <c r="I330" s="19"/>
      <c r="J330"/>
    </row>
    <row r="331" spans="9:10">
      <c r="I331" s="19"/>
      <c r="J331"/>
    </row>
    <row r="332" spans="9:10">
      <c r="I332" s="19"/>
      <c r="J332"/>
    </row>
    <row r="333" spans="9:10">
      <c r="I333" s="19"/>
      <c r="J333"/>
    </row>
    <row r="334" spans="9:10">
      <c r="I334" s="19"/>
      <c r="J334"/>
    </row>
    <row r="335" spans="9:10">
      <c r="I335" s="19"/>
      <c r="J335"/>
    </row>
    <row r="336" spans="9:10">
      <c r="I336" s="19"/>
      <c r="J336"/>
    </row>
    <row r="337" spans="9:10">
      <c r="I337" s="19"/>
      <c r="J337"/>
    </row>
    <row r="338" spans="9:10">
      <c r="I338" s="19"/>
      <c r="J338"/>
    </row>
    <row r="339" spans="9:10">
      <c r="I339" s="19"/>
      <c r="J339"/>
    </row>
    <row r="340" spans="9:10">
      <c r="I340" s="19"/>
      <c r="J340"/>
    </row>
    <row r="341" spans="9:10">
      <c r="I341" s="19"/>
      <c r="J341"/>
    </row>
    <row r="342" spans="9:10">
      <c r="I342" s="19"/>
      <c r="J342"/>
    </row>
    <row r="343" spans="9:10">
      <c r="I343" s="19"/>
      <c r="J343"/>
    </row>
    <row r="344" spans="9:10">
      <c r="I344" s="19"/>
      <c r="J344"/>
    </row>
    <row r="345" spans="9:10">
      <c r="I345" s="19"/>
      <c r="J345"/>
    </row>
    <row r="346" spans="9:10">
      <c r="I346" s="19"/>
      <c r="J346"/>
    </row>
    <row r="347" spans="9:10">
      <c r="I347" s="19"/>
      <c r="J347"/>
    </row>
    <row r="348" spans="9:10">
      <c r="I348" s="19"/>
      <c r="J348"/>
    </row>
    <row r="349" spans="9:10">
      <c r="I349" s="19"/>
      <c r="J349"/>
    </row>
    <row r="350" spans="9:10">
      <c r="I350" s="19"/>
      <c r="J350"/>
    </row>
    <row r="351" spans="9:10">
      <c r="I351" s="19"/>
      <c r="J351"/>
    </row>
    <row r="352" spans="9:10">
      <c r="I352" s="19"/>
      <c r="J352"/>
    </row>
    <row r="353" spans="9:10">
      <c r="I353" s="19"/>
      <c r="J353"/>
    </row>
    <row r="354" spans="9:10">
      <c r="I354" s="19"/>
      <c r="J354"/>
    </row>
    <row r="355" spans="9:10">
      <c r="I355" s="19"/>
      <c r="J355"/>
    </row>
    <row r="356" spans="9:10">
      <c r="I356" s="19"/>
      <c r="J356"/>
    </row>
    <row r="357" spans="9:10">
      <c r="I357" s="19"/>
      <c r="J357"/>
    </row>
    <row r="358" spans="9:10">
      <c r="I358" s="19"/>
      <c r="J358"/>
    </row>
    <row r="359" spans="9:10">
      <c r="I359" s="19"/>
      <c r="J359"/>
    </row>
    <row r="360" spans="9:10">
      <c r="I360" s="19"/>
      <c r="J360"/>
    </row>
    <row r="361" spans="9:10">
      <c r="I361" s="19"/>
      <c r="J361"/>
    </row>
    <row r="362" spans="9:10">
      <c r="I362" s="19"/>
      <c r="J362"/>
    </row>
    <row r="363" spans="9:10">
      <c r="I363" s="19"/>
      <c r="J363"/>
    </row>
    <row r="364" spans="9:10">
      <c r="I364" s="19"/>
      <c r="J364"/>
    </row>
    <row r="365" spans="9:10">
      <c r="I365" s="19"/>
      <c r="J365"/>
    </row>
    <row r="366" spans="9:10">
      <c r="I366" s="19"/>
      <c r="J366"/>
    </row>
    <row r="367" spans="9:10">
      <c r="I367" s="19"/>
      <c r="J367"/>
    </row>
    <row r="368" spans="9:10">
      <c r="I368" s="19"/>
      <c r="J368"/>
    </row>
    <row r="369" spans="9:10">
      <c r="I369" s="19"/>
      <c r="J369"/>
    </row>
    <row r="370" spans="9:10">
      <c r="I370" s="19"/>
      <c r="J370"/>
    </row>
    <row r="371" spans="9:10">
      <c r="I371" s="19"/>
      <c r="J371"/>
    </row>
    <row r="372" spans="9:10">
      <c r="I372" s="19"/>
      <c r="J372"/>
    </row>
    <row r="373" spans="9:10">
      <c r="I373" s="19"/>
      <c r="J373"/>
    </row>
    <row r="374" spans="9:10">
      <c r="I374" s="19"/>
      <c r="J374"/>
    </row>
    <row r="375" spans="9:10">
      <c r="I375" s="19"/>
      <c r="J375"/>
    </row>
    <row r="376" spans="9:10">
      <c r="I376" s="19"/>
      <c r="J376"/>
    </row>
    <row r="377" spans="9:10">
      <c r="I377" s="19"/>
      <c r="J377"/>
    </row>
    <row r="378" spans="9:10">
      <c r="I378" s="19"/>
      <c r="J378"/>
    </row>
    <row r="379" spans="9:10">
      <c r="I379" s="19"/>
      <c r="J379"/>
    </row>
    <row r="380" spans="9:10">
      <c r="I380" s="19"/>
      <c r="J380"/>
    </row>
    <row r="381" spans="9:10">
      <c r="I381" s="19"/>
      <c r="J381"/>
    </row>
    <row r="382" spans="9:10">
      <c r="I382" s="19"/>
      <c r="J382"/>
    </row>
    <row r="383" spans="9:10">
      <c r="I383" s="19"/>
      <c r="J383"/>
    </row>
    <row r="384" spans="9:10">
      <c r="I384" s="19"/>
      <c r="J384"/>
    </row>
    <row r="385" spans="9:10">
      <c r="I385" s="19"/>
      <c r="J385"/>
    </row>
    <row r="386" spans="9:10">
      <c r="I386" s="19"/>
      <c r="J386"/>
    </row>
    <row r="387" spans="9:10">
      <c r="I387" s="19"/>
      <c r="J387"/>
    </row>
    <row r="388" spans="9:10">
      <c r="I388" s="19"/>
      <c r="J388"/>
    </row>
    <row r="389" spans="9:10">
      <c r="I389" s="19"/>
      <c r="J389"/>
    </row>
    <row r="390" spans="9:10">
      <c r="I390" s="19"/>
      <c r="J390"/>
    </row>
    <row r="391" spans="9:10">
      <c r="I391" s="19"/>
      <c r="J391"/>
    </row>
    <row r="392" spans="9:10">
      <c r="I392" s="19"/>
      <c r="J392"/>
    </row>
    <row r="393" spans="9:10">
      <c r="I393" s="19"/>
      <c r="J393"/>
    </row>
    <row r="394" spans="9:10">
      <c r="I394" s="19"/>
      <c r="J394"/>
    </row>
    <row r="395" spans="9:10">
      <c r="I395" s="19"/>
      <c r="J395"/>
    </row>
    <row r="396" spans="9:10">
      <c r="I396" s="19"/>
      <c r="J396"/>
    </row>
    <row r="397" spans="9:10">
      <c r="I397" s="19"/>
      <c r="J397"/>
    </row>
    <row r="398" spans="9:10">
      <c r="I398" s="19"/>
      <c r="J398"/>
    </row>
    <row r="399" spans="9:10">
      <c r="I399" s="19"/>
      <c r="J399"/>
    </row>
    <row r="400" spans="9:10">
      <c r="I400" s="19"/>
      <c r="J400"/>
    </row>
    <row r="401" spans="9:10">
      <c r="I401" s="19"/>
      <c r="J401"/>
    </row>
    <row r="402" spans="9:10">
      <c r="I402" s="19"/>
      <c r="J402"/>
    </row>
    <row r="403" spans="9:10">
      <c r="I403" s="19"/>
      <c r="J403"/>
    </row>
    <row r="404" spans="9:10">
      <c r="I404" s="19"/>
      <c r="J404"/>
    </row>
    <row r="405" spans="9:10">
      <c r="I405" s="19"/>
      <c r="J405"/>
    </row>
    <row r="406" spans="9:10">
      <c r="I406" s="19"/>
      <c r="J406"/>
    </row>
    <row r="407" spans="9:10">
      <c r="I407" s="19"/>
      <c r="J407"/>
    </row>
    <row r="408" spans="9:10">
      <c r="I408" s="19"/>
      <c r="J408"/>
    </row>
    <row r="409" spans="9:10">
      <c r="I409" s="19"/>
      <c r="J409"/>
    </row>
    <row r="410" spans="9:10">
      <c r="I410" s="19"/>
      <c r="J410"/>
    </row>
    <row r="411" spans="9:10">
      <c r="I411" s="19"/>
      <c r="J411"/>
    </row>
    <row r="412" spans="9:10">
      <c r="I412" s="19"/>
      <c r="J412"/>
    </row>
    <row r="413" spans="9:10">
      <c r="I413" s="19"/>
      <c r="J413"/>
    </row>
    <row r="414" spans="9:10">
      <c r="I414" s="19"/>
      <c r="J414"/>
    </row>
    <row r="415" spans="9:10">
      <c r="I415" s="19"/>
      <c r="J415"/>
    </row>
    <row r="416" spans="9:10">
      <c r="I416" s="19"/>
      <c r="J416"/>
    </row>
    <row r="417" spans="9:10">
      <c r="I417" s="19"/>
      <c r="J417"/>
    </row>
    <row r="418" spans="9:10">
      <c r="I418" s="19"/>
      <c r="J418"/>
    </row>
    <row r="419" spans="9:10">
      <c r="I419" s="19"/>
      <c r="J419"/>
    </row>
    <row r="420" spans="9:10">
      <c r="I420" s="19"/>
      <c r="J420"/>
    </row>
    <row r="421" spans="9:10">
      <c r="I421" s="19"/>
      <c r="J421"/>
    </row>
    <row r="422" spans="9:10">
      <c r="I422" s="19"/>
      <c r="J422"/>
    </row>
    <row r="423" spans="9:10">
      <c r="I423" s="19"/>
      <c r="J423"/>
    </row>
    <row r="424" spans="9:10">
      <c r="I424" s="19"/>
      <c r="J424"/>
    </row>
    <row r="425" spans="9:10">
      <c r="I425" s="19"/>
      <c r="J425"/>
    </row>
    <row r="426" spans="9:10">
      <c r="I426" s="19"/>
      <c r="J426"/>
    </row>
    <row r="427" spans="9:10">
      <c r="I427" s="19"/>
      <c r="J427"/>
    </row>
    <row r="428" spans="9:10">
      <c r="I428" s="19"/>
      <c r="J428"/>
    </row>
    <row r="429" spans="9:10">
      <c r="I429" s="19"/>
      <c r="J429"/>
    </row>
    <row r="430" spans="9:10">
      <c r="I430" s="19"/>
      <c r="J430"/>
    </row>
    <row r="431" spans="9:10">
      <c r="I431" s="19"/>
      <c r="J431"/>
    </row>
    <row r="432" spans="9:10">
      <c r="I432" s="19"/>
      <c r="J432"/>
    </row>
    <row r="433" spans="9:10">
      <c r="I433" s="19"/>
      <c r="J433"/>
    </row>
    <row r="434" spans="9:10">
      <c r="I434" s="19"/>
      <c r="J434"/>
    </row>
    <row r="435" spans="9:10">
      <c r="I435" s="19"/>
      <c r="J435"/>
    </row>
    <row r="436" spans="9:10">
      <c r="I436" s="19"/>
      <c r="J436"/>
    </row>
    <row r="437" spans="9:10">
      <c r="I437" s="19"/>
      <c r="J437"/>
    </row>
    <row r="438" spans="9:10">
      <c r="I438" s="19"/>
      <c r="J438"/>
    </row>
    <row r="439" spans="9:10">
      <c r="I439" s="19"/>
      <c r="J439"/>
    </row>
    <row r="440" spans="9:10">
      <c r="I440" s="19"/>
      <c r="J440"/>
    </row>
    <row r="441" spans="9:10">
      <c r="I441" s="19"/>
      <c r="J441"/>
    </row>
    <row r="442" spans="9:10">
      <c r="I442" s="19"/>
      <c r="J442"/>
    </row>
    <row r="443" spans="9:10">
      <c r="I443" s="19"/>
      <c r="J443"/>
    </row>
    <row r="444" spans="9:10">
      <c r="I444" s="19"/>
      <c r="J444"/>
    </row>
    <row r="445" spans="9:10">
      <c r="I445" s="19"/>
      <c r="J445"/>
    </row>
    <row r="446" spans="9:10">
      <c r="I446" s="19"/>
      <c r="J446"/>
    </row>
    <row r="447" spans="9:10">
      <c r="I447" s="19"/>
      <c r="J447"/>
    </row>
    <row r="448" spans="9:10">
      <c r="I448" s="19"/>
      <c r="J448"/>
    </row>
    <row r="449" spans="9:10">
      <c r="I449" s="19"/>
      <c r="J449"/>
    </row>
    <row r="450" spans="9:10">
      <c r="I450" s="19"/>
      <c r="J450"/>
    </row>
    <row r="451" spans="9:10">
      <c r="I451" s="19"/>
      <c r="J451"/>
    </row>
    <row r="452" spans="9:10">
      <c r="I452" s="19"/>
      <c r="J452"/>
    </row>
    <row r="453" spans="9:10">
      <c r="I453" s="19"/>
      <c r="J453"/>
    </row>
    <row r="454" spans="9:10">
      <c r="I454" s="19"/>
      <c r="J454"/>
    </row>
    <row r="455" spans="9:10">
      <c r="I455" s="19"/>
      <c r="J455"/>
    </row>
    <row r="456" spans="9:10">
      <c r="I456" s="19"/>
      <c r="J456"/>
    </row>
    <row r="457" spans="9:10">
      <c r="I457" s="19"/>
      <c r="J457"/>
    </row>
    <row r="458" spans="9:10">
      <c r="I458" s="19"/>
      <c r="J458"/>
    </row>
    <row r="459" spans="9:10">
      <c r="I459" s="19"/>
      <c r="J459"/>
    </row>
    <row r="460" spans="9:10">
      <c r="I460" s="19"/>
      <c r="J460"/>
    </row>
    <row r="461" spans="9:10">
      <c r="I461" s="19"/>
      <c r="J461"/>
    </row>
    <row r="462" spans="9:10">
      <c r="I462" s="19"/>
      <c r="J462"/>
    </row>
    <row r="463" spans="9:10">
      <c r="I463" s="19"/>
      <c r="J463"/>
    </row>
    <row r="464" spans="9:10">
      <c r="I464" s="19"/>
      <c r="J464"/>
    </row>
    <row r="465" spans="9:10">
      <c r="I465" s="19"/>
      <c r="J465"/>
    </row>
    <row r="466" spans="9:10">
      <c r="I466" s="19"/>
      <c r="J466"/>
    </row>
    <row r="467" spans="9:10">
      <c r="I467" s="19"/>
      <c r="J467"/>
    </row>
    <row r="468" spans="9:10">
      <c r="I468" s="19"/>
      <c r="J468"/>
    </row>
    <row r="469" spans="9:10">
      <c r="I469" s="19"/>
      <c r="J469"/>
    </row>
    <row r="470" spans="9:10">
      <c r="I470" s="19"/>
      <c r="J470"/>
    </row>
    <row r="471" spans="9:10">
      <c r="I471" s="19"/>
      <c r="J471"/>
    </row>
    <row r="472" spans="9:10">
      <c r="I472" s="19"/>
      <c r="J472"/>
    </row>
    <row r="473" spans="9:10">
      <c r="I473" s="19"/>
      <c r="J473"/>
    </row>
    <row r="474" spans="9:10">
      <c r="I474" s="19"/>
      <c r="J474"/>
    </row>
    <row r="475" spans="9:10">
      <c r="I475" s="19"/>
      <c r="J475"/>
    </row>
    <row r="476" spans="9:10">
      <c r="I476" s="19"/>
      <c r="J476"/>
    </row>
    <row r="477" spans="9:10">
      <c r="I477" s="19"/>
      <c r="J477"/>
    </row>
    <row r="478" spans="9:10">
      <c r="I478" s="19"/>
      <c r="J478"/>
    </row>
    <row r="479" spans="9:10">
      <c r="I479" s="19"/>
      <c r="J479"/>
    </row>
    <row r="480" spans="9:10">
      <c r="I480" s="19"/>
      <c r="J480"/>
    </row>
    <row r="481" spans="9:10">
      <c r="I481" s="19"/>
      <c r="J481"/>
    </row>
    <row r="482" spans="9:10">
      <c r="I482" s="19"/>
      <c r="J482"/>
    </row>
    <row r="483" spans="9:10">
      <c r="I483" s="19"/>
      <c r="J483"/>
    </row>
    <row r="484" spans="9:10">
      <c r="I484" s="19"/>
      <c r="J484"/>
    </row>
    <row r="485" spans="9:10">
      <c r="I485" s="19"/>
      <c r="J485"/>
    </row>
    <row r="486" spans="9:10">
      <c r="I486" s="19"/>
      <c r="J486"/>
    </row>
    <row r="487" spans="9:10">
      <c r="I487" s="19"/>
      <c r="J487"/>
    </row>
    <row r="488" spans="9:10">
      <c r="I488" s="19"/>
      <c r="J488"/>
    </row>
    <row r="489" spans="9:10">
      <c r="I489" s="19"/>
      <c r="J489"/>
    </row>
    <row r="490" spans="9:10">
      <c r="I490" s="19"/>
      <c r="J490"/>
    </row>
    <row r="491" spans="9:10">
      <c r="I491" s="19"/>
      <c r="J491"/>
    </row>
    <row r="492" spans="9:10">
      <c r="I492" s="19"/>
      <c r="J492"/>
    </row>
    <row r="493" spans="9:10">
      <c r="I493" s="19"/>
      <c r="J493"/>
    </row>
    <row r="494" spans="9:10">
      <c r="I494" s="19"/>
      <c r="J494"/>
    </row>
    <row r="495" spans="9:10">
      <c r="I495" s="19"/>
      <c r="J495"/>
    </row>
    <row r="496" spans="9:10">
      <c r="I496" s="19"/>
      <c r="J496"/>
    </row>
    <row r="497" spans="9:10">
      <c r="I497" s="19"/>
      <c r="J497"/>
    </row>
    <row r="498" spans="9:10">
      <c r="I498" s="19"/>
      <c r="J498"/>
    </row>
    <row r="499" spans="9:10">
      <c r="I499" s="19"/>
      <c r="J499"/>
    </row>
    <row r="500" spans="9:10">
      <c r="I500" s="19"/>
      <c r="J500"/>
    </row>
    <row r="501" spans="9:10">
      <c r="I501" s="19"/>
      <c r="J501"/>
    </row>
    <row r="502" spans="9:10">
      <c r="I502" s="19"/>
      <c r="J502"/>
    </row>
    <row r="503" spans="9:10">
      <c r="I503" s="19"/>
      <c r="J503"/>
    </row>
    <row r="504" spans="9:10">
      <c r="I504" s="19"/>
      <c r="J504"/>
    </row>
    <row r="505" spans="9:10">
      <c r="I505" s="19"/>
      <c r="J505"/>
    </row>
    <row r="506" spans="9:10">
      <c r="I506" s="19"/>
      <c r="J506"/>
    </row>
    <row r="507" spans="9:10">
      <c r="I507" s="19"/>
      <c r="J507"/>
    </row>
    <row r="508" spans="9:10">
      <c r="I508" s="19"/>
      <c r="J508"/>
    </row>
    <row r="509" spans="9:10">
      <c r="I509" s="19"/>
      <c r="J509"/>
    </row>
    <row r="510" spans="9:10">
      <c r="I510" s="19"/>
      <c r="J510"/>
    </row>
    <row r="511" spans="9:10">
      <c r="I511" s="19"/>
      <c r="J511"/>
    </row>
    <row r="512" spans="9:10">
      <c r="I512" s="19"/>
      <c r="J512"/>
    </row>
    <row r="513" spans="9:10">
      <c r="I513" s="19"/>
      <c r="J513"/>
    </row>
    <row r="514" spans="9:10">
      <c r="I514" s="19"/>
      <c r="J514"/>
    </row>
    <row r="515" spans="9:10">
      <c r="I515" s="19"/>
      <c r="J515"/>
    </row>
    <row r="516" spans="9:10">
      <c r="I516" s="19"/>
      <c r="J516"/>
    </row>
    <row r="517" spans="9:10">
      <c r="I517" s="19"/>
      <c r="J517"/>
    </row>
    <row r="518" spans="9:10">
      <c r="I518" s="19"/>
      <c r="J518"/>
    </row>
    <row r="519" spans="9:10">
      <c r="I519" s="19"/>
      <c r="J519"/>
    </row>
    <row r="520" spans="9:10">
      <c r="I520" s="19"/>
      <c r="J520"/>
    </row>
    <row r="521" spans="9:10">
      <c r="I521" s="19"/>
      <c r="J521"/>
    </row>
    <row r="522" spans="9:10">
      <c r="I522" s="19"/>
      <c r="J522"/>
    </row>
    <row r="523" spans="9:10">
      <c r="I523" s="19"/>
      <c r="J523"/>
    </row>
    <row r="524" spans="9:10">
      <c r="I524" s="19"/>
      <c r="J524"/>
    </row>
    <row r="525" spans="9:10">
      <c r="I525" s="19"/>
      <c r="J525"/>
    </row>
    <row r="526" spans="9:10">
      <c r="I526" s="19"/>
      <c r="J526"/>
    </row>
    <row r="527" spans="9:10">
      <c r="I527" s="19"/>
      <c r="J527"/>
    </row>
    <row r="528" spans="9:10">
      <c r="I528" s="19"/>
      <c r="J528"/>
    </row>
    <row r="529" spans="9:10">
      <c r="I529" s="19"/>
      <c r="J529"/>
    </row>
    <row r="530" spans="9:10">
      <c r="I530" s="19"/>
      <c r="J530"/>
    </row>
    <row r="531" spans="9:10">
      <c r="I531" s="19"/>
      <c r="J531"/>
    </row>
    <row r="532" spans="9:10">
      <c r="I532" s="19"/>
      <c r="J532"/>
    </row>
    <row r="533" spans="9:10">
      <c r="I533" s="19"/>
      <c r="J533"/>
    </row>
    <row r="534" spans="9:10">
      <c r="I534" s="19"/>
      <c r="J534"/>
    </row>
    <row r="535" spans="9:10">
      <c r="I535" s="19"/>
      <c r="J535"/>
    </row>
    <row r="536" spans="9:10">
      <c r="I536" s="19"/>
      <c r="J536"/>
    </row>
    <row r="537" spans="9:10">
      <c r="I537" s="19"/>
      <c r="J537"/>
    </row>
    <row r="538" spans="9:10">
      <c r="I538" s="19"/>
      <c r="J538"/>
    </row>
    <row r="539" spans="9:10">
      <c r="I539" s="19"/>
      <c r="J539"/>
    </row>
    <row r="540" spans="9:10">
      <c r="I540" s="19"/>
      <c r="J540"/>
    </row>
    <row r="541" spans="9:10">
      <c r="I541" s="19"/>
      <c r="J541"/>
    </row>
    <row r="542" spans="9:10">
      <c r="I542" s="19"/>
      <c r="J542"/>
    </row>
    <row r="543" spans="9:10">
      <c r="I543" s="19"/>
      <c r="J543"/>
    </row>
    <row r="544" spans="9:10">
      <c r="I544" s="19"/>
      <c r="J544"/>
    </row>
    <row r="545" spans="9:10">
      <c r="I545" s="19"/>
      <c r="J545"/>
    </row>
    <row r="546" spans="9:10">
      <c r="I546" s="19"/>
      <c r="J546"/>
    </row>
    <row r="547" spans="9:10">
      <c r="I547" s="19"/>
      <c r="J547"/>
    </row>
    <row r="548" spans="9:10">
      <c r="I548" s="19"/>
      <c r="J548"/>
    </row>
    <row r="549" spans="9:10">
      <c r="I549" s="19"/>
      <c r="J549"/>
    </row>
    <row r="550" spans="9:10">
      <c r="I550" s="19"/>
      <c r="J550"/>
    </row>
    <row r="551" spans="9:10">
      <c r="I551" s="19"/>
      <c r="J551"/>
    </row>
    <row r="552" spans="9:10">
      <c r="I552" s="19"/>
      <c r="J552"/>
    </row>
    <row r="553" spans="9:10">
      <c r="I553" s="19"/>
      <c r="J553"/>
    </row>
    <row r="554" spans="9:10">
      <c r="I554" s="19"/>
      <c r="J554"/>
    </row>
    <row r="555" spans="9:10">
      <c r="I555" s="19"/>
      <c r="J555"/>
    </row>
    <row r="556" spans="9:10">
      <c r="I556" s="19"/>
      <c r="J556"/>
    </row>
    <row r="557" spans="9:10">
      <c r="I557" s="19"/>
      <c r="J557"/>
    </row>
    <row r="558" spans="9:10">
      <c r="I558" s="19"/>
      <c r="J558"/>
    </row>
    <row r="559" spans="9:10">
      <c r="I559" s="19"/>
      <c r="J559"/>
    </row>
    <row r="560" spans="9:10">
      <c r="I560" s="19"/>
      <c r="J560"/>
    </row>
    <row r="561" spans="9:10">
      <c r="I561" s="19"/>
      <c r="J561"/>
    </row>
    <row r="562" spans="9:10">
      <c r="I562" s="19"/>
      <c r="J562"/>
    </row>
    <row r="563" spans="9:10">
      <c r="I563" s="19"/>
      <c r="J563"/>
    </row>
    <row r="564" spans="9:10">
      <c r="I564" s="19"/>
      <c r="J564"/>
    </row>
    <row r="565" spans="9:10">
      <c r="I565" s="19"/>
      <c r="J565"/>
    </row>
    <row r="566" spans="9:10">
      <c r="I566" s="19"/>
      <c r="J566"/>
    </row>
    <row r="567" spans="9:10">
      <c r="I567" s="19"/>
      <c r="J567"/>
    </row>
    <row r="568" spans="9:10">
      <c r="I568" s="19"/>
      <c r="J568"/>
    </row>
    <row r="569" spans="9:10">
      <c r="I569" s="19"/>
      <c r="J569"/>
    </row>
    <row r="570" spans="9:10">
      <c r="I570" s="19"/>
      <c r="J570"/>
    </row>
    <row r="571" spans="9:10">
      <c r="I571" s="19"/>
      <c r="J571"/>
    </row>
    <row r="572" spans="9:10">
      <c r="I572" s="19"/>
      <c r="J572"/>
    </row>
    <row r="573" spans="9:10">
      <c r="I573" s="19"/>
      <c r="J573"/>
    </row>
    <row r="574" spans="9:10">
      <c r="I574" s="19"/>
      <c r="J574"/>
    </row>
    <row r="575" spans="9:10">
      <c r="I575" s="19"/>
      <c r="J575"/>
    </row>
    <row r="576" spans="9:10">
      <c r="I576" s="19"/>
      <c r="J576"/>
    </row>
    <row r="577" spans="9:10">
      <c r="I577" s="19"/>
      <c r="J577"/>
    </row>
    <row r="578" spans="9:10">
      <c r="I578" s="19"/>
      <c r="J578"/>
    </row>
    <row r="579" spans="9:10">
      <c r="I579" s="19"/>
      <c r="J579"/>
    </row>
    <row r="580" spans="9:10">
      <c r="I580" s="19"/>
      <c r="J580"/>
    </row>
    <row r="581" spans="9:10">
      <c r="I581" s="19"/>
      <c r="J581"/>
    </row>
    <row r="582" spans="9:10">
      <c r="I582" s="19"/>
      <c r="J582"/>
    </row>
    <row r="583" spans="9:10">
      <c r="I583" s="19"/>
      <c r="J583"/>
    </row>
    <row r="584" spans="9:10">
      <c r="I584" s="19"/>
      <c r="J584"/>
    </row>
    <row r="585" spans="9:10">
      <c r="I585" s="19"/>
      <c r="J585"/>
    </row>
    <row r="586" spans="9:10">
      <c r="I586" s="19"/>
      <c r="J586"/>
    </row>
    <row r="587" spans="9:10">
      <c r="I587" s="19"/>
      <c r="J587"/>
    </row>
    <row r="588" spans="9:10">
      <c r="I588" s="19"/>
      <c r="J588"/>
    </row>
    <row r="589" spans="9:10">
      <c r="I589" s="19"/>
      <c r="J589"/>
    </row>
    <row r="590" spans="9:10">
      <c r="I590" s="19"/>
      <c r="J590"/>
    </row>
    <row r="591" spans="9:10">
      <c r="I591" s="19"/>
      <c r="J591"/>
    </row>
    <row r="592" spans="9:10">
      <c r="I592" s="19"/>
      <c r="J592"/>
    </row>
    <row r="593" spans="9:10">
      <c r="I593" s="19"/>
      <c r="J593"/>
    </row>
    <row r="594" spans="9:10">
      <c r="I594" s="19"/>
      <c r="J594"/>
    </row>
    <row r="595" spans="9:10">
      <c r="I595" s="19"/>
      <c r="J595"/>
    </row>
    <row r="596" spans="9:10">
      <c r="I596" s="19"/>
      <c r="J596"/>
    </row>
    <row r="597" spans="9:10">
      <c r="I597" s="19"/>
      <c r="J597"/>
    </row>
    <row r="598" spans="9:10">
      <c r="I598" s="19"/>
      <c r="J598"/>
    </row>
    <row r="599" spans="9:10">
      <c r="I599" s="19"/>
      <c r="J599"/>
    </row>
    <row r="600" spans="9:10">
      <c r="I600" s="19"/>
      <c r="J600"/>
    </row>
    <row r="601" spans="9:10">
      <c r="I601" s="19"/>
      <c r="J601"/>
    </row>
    <row r="602" spans="9:10">
      <c r="I602" s="19"/>
      <c r="J602"/>
    </row>
    <row r="603" spans="9:10">
      <c r="I603" s="19"/>
      <c r="J603"/>
    </row>
    <row r="604" spans="9:10">
      <c r="I604" s="19"/>
      <c r="J604"/>
    </row>
    <row r="605" spans="9:10">
      <c r="I605" s="19"/>
      <c r="J605"/>
    </row>
    <row r="606" spans="9:10">
      <c r="I606" s="19"/>
      <c r="J606"/>
    </row>
    <row r="607" spans="9:10">
      <c r="I607" s="19"/>
      <c r="J607"/>
    </row>
    <row r="608" spans="9:10">
      <c r="I608" s="19"/>
      <c r="J608"/>
    </row>
    <row r="609" spans="9:10">
      <c r="I609" s="19"/>
      <c r="J609"/>
    </row>
    <row r="610" spans="9:10">
      <c r="I610" s="19"/>
      <c r="J610"/>
    </row>
    <row r="611" spans="9:10">
      <c r="I611" s="19"/>
      <c r="J611"/>
    </row>
    <row r="612" spans="9:10">
      <c r="I612" s="19"/>
      <c r="J612"/>
    </row>
    <row r="613" spans="9:10">
      <c r="I613" s="19"/>
      <c r="J613"/>
    </row>
    <row r="614" spans="9:10">
      <c r="I614" s="19"/>
      <c r="J614"/>
    </row>
    <row r="615" spans="9:10">
      <c r="I615" s="19"/>
      <c r="J615"/>
    </row>
    <row r="616" spans="9:10">
      <c r="I616" s="19"/>
      <c r="J616"/>
    </row>
    <row r="617" spans="9:10">
      <c r="I617" s="19"/>
      <c r="J617"/>
    </row>
    <row r="618" spans="9:10">
      <c r="I618" s="19"/>
      <c r="J618"/>
    </row>
    <row r="619" spans="9:10">
      <c r="I619" s="19"/>
      <c r="J619"/>
    </row>
    <row r="620" spans="9:10">
      <c r="I620" s="19"/>
      <c r="J620"/>
    </row>
    <row r="621" spans="9:10">
      <c r="I621" s="19"/>
      <c r="J621"/>
    </row>
    <row r="622" spans="9:10">
      <c r="I622" s="19"/>
      <c r="J622"/>
    </row>
    <row r="623" spans="9:10">
      <c r="I623" s="19"/>
      <c r="J623"/>
    </row>
    <row r="624" spans="9:10">
      <c r="I624" s="19"/>
      <c r="J624"/>
    </row>
    <row r="625" spans="9:10">
      <c r="I625" s="19"/>
      <c r="J625"/>
    </row>
    <row r="626" spans="9:10">
      <c r="I626" s="19"/>
      <c r="J626"/>
    </row>
    <row r="627" spans="9:10">
      <c r="I627" s="19"/>
      <c r="J627"/>
    </row>
    <row r="628" spans="9:10">
      <c r="I628" s="19"/>
      <c r="J628"/>
    </row>
    <row r="629" spans="9:10">
      <c r="I629" s="19"/>
      <c r="J629"/>
    </row>
    <row r="630" spans="9:10">
      <c r="I630" s="19"/>
      <c r="J630"/>
    </row>
    <row r="631" spans="9:10">
      <c r="I631" s="19"/>
      <c r="J631"/>
    </row>
    <row r="632" spans="9:10">
      <c r="I632" s="19"/>
      <c r="J632"/>
    </row>
    <row r="633" spans="9:10">
      <c r="I633" s="19"/>
      <c r="J633"/>
    </row>
    <row r="634" spans="9:10">
      <c r="I634" s="19"/>
      <c r="J634"/>
    </row>
    <row r="635" spans="9:10">
      <c r="I635" s="19"/>
      <c r="J635"/>
    </row>
    <row r="636" spans="9:10">
      <c r="I636" s="19"/>
      <c r="J636"/>
    </row>
    <row r="637" spans="9:10">
      <c r="I637" s="19"/>
      <c r="J637"/>
    </row>
    <row r="638" spans="9:10">
      <c r="I638" s="19"/>
      <c r="J638"/>
    </row>
    <row r="639" spans="9:10">
      <c r="I639" s="19"/>
      <c r="J639"/>
    </row>
    <row r="640" spans="9:10">
      <c r="I640" s="19"/>
      <c r="J640"/>
    </row>
    <row r="641" spans="9:10">
      <c r="I641" s="19"/>
      <c r="J641"/>
    </row>
    <row r="642" spans="9:10">
      <c r="I642" s="19"/>
      <c r="J642"/>
    </row>
    <row r="643" spans="9:10">
      <c r="I643" s="19"/>
      <c r="J643"/>
    </row>
    <row r="644" spans="9:10">
      <c r="I644" s="19"/>
      <c r="J644"/>
    </row>
    <row r="645" spans="9:10">
      <c r="I645" s="19"/>
      <c r="J645"/>
    </row>
    <row r="646" spans="9:10">
      <c r="I646" s="19"/>
      <c r="J646"/>
    </row>
    <row r="647" spans="9:10">
      <c r="I647" s="19"/>
      <c r="J647"/>
    </row>
    <row r="648" spans="9:10">
      <c r="I648" s="19"/>
      <c r="J648"/>
    </row>
    <row r="649" spans="9:10">
      <c r="I649" s="19"/>
      <c r="J649"/>
    </row>
    <row r="650" spans="9:10">
      <c r="I650" s="19"/>
      <c r="J650"/>
    </row>
    <row r="651" spans="9:10">
      <c r="I651" s="19"/>
      <c r="J651"/>
    </row>
    <row r="652" spans="9:10">
      <c r="I652" s="19"/>
      <c r="J652"/>
    </row>
    <row r="653" spans="9:10">
      <c r="I653" s="19"/>
      <c r="J653"/>
    </row>
    <row r="654" spans="9:10">
      <c r="I654" s="19"/>
      <c r="J654"/>
    </row>
    <row r="655" spans="9:10">
      <c r="I655" s="19"/>
      <c r="J655"/>
    </row>
    <row r="656" spans="9:10">
      <c r="I656" s="19"/>
      <c r="J656"/>
    </row>
    <row r="657" spans="9:10">
      <c r="I657" s="19"/>
      <c r="J657"/>
    </row>
    <row r="658" spans="9:10">
      <c r="I658" s="19"/>
      <c r="J658"/>
    </row>
    <row r="659" spans="9:10">
      <c r="I659" s="19"/>
      <c r="J659"/>
    </row>
    <row r="660" spans="9:10">
      <c r="I660" s="19"/>
      <c r="J660"/>
    </row>
    <row r="661" spans="9:10">
      <c r="I661" s="19"/>
      <c r="J661"/>
    </row>
    <row r="662" spans="9:10">
      <c r="I662" s="19"/>
      <c r="J662"/>
    </row>
    <row r="663" spans="9:10">
      <c r="I663" s="19"/>
      <c r="J663"/>
    </row>
    <row r="664" spans="9:10">
      <c r="I664" s="19"/>
      <c r="J664"/>
    </row>
    <row r="665" spans="9:10">
      <c r="I665" s="19"/>
      <c r="J665"/>
    </row>
    <row r="666" spans="9:10">
      <c r="I666" s="19"/>
      <c r="J666"/>
    </row>
    <row r="667" spans="9:10">
      <c r="I667" s="19"/>
      <c r="J667"/>
    </row>
    <row r="668" spans="9:10">
      <c r="I668" s="19"/>
      <c r="J668"/>
    </row>
    <row r="669" spans="9:10">
      <c r="I669" s="19"/>
      <c r="J669"/>
    </row>
    <row r="670" spans="9:10">
      <c r="I670" s="19"/>
      <c r="J670"/>
    </row>
    <row r="671" spans="9:10">
      <c r="I671" s="19"/>
      <c r="J671"/>
    </row>
    <row r="672" spans="9:10">
      <c r="I672" s="19"/>
      <c r="J672"/>
    </row>
    <row r="673" spans="9:10">
      <c r="I673" s="19"/>
      <c r="J673"/>
    </row>
    <row r="674" spans="9:10">
      <c r="I674" s="19"/>
      <c r="J674"/>
    </row>
    <row r="675" spans="9:10">
      <c r="I675" s="19"/>
      <c r="J675"/>
    </row>
    <row r="676" spans="9:10">
      <c r="I676" s="19"/>
      <c r="J676"/>
    </row>
    <row r="677" spans="9:10">
      <c r="I677" s="19"/>
      <c r="J677"/>
    </row>
    <row r="678" spans="9:10">
      <c r="I678" s="19"/>
      <c r="J678"/>
    </row>
    <row r="679" spans="9:10">
      <c r="I679" s="19"/>
      <c r="J679"/>
    </row>
    <row r="680" spans="9:10">
      <c r="I680" s="19"/>
      <c r="J680"/>
    </row>
    <row r="681" spans="9:10">
      <c r="I681" s="19"/>
      <c r="J681"/>
    </row>
    <row r="682" spans="9:10">
      <c r="I682" s="19"/>
      <c r="J682"/>
    </row>
    <row r="683" spans="9:10">
      <c r="I683" s="19"/>
      <c r="J683"/>
    </row>
    <row r="684" spans="9:10">
      <c r="I684" s="19"/>
      <c r="J684"/>
    </row>
    <row r="685" spans="9:10">
      <c r="I685" s="19"/>
      <c r="J685"/>
    </row>
    <row r="686" spans="9:10">
      <c r="I686" s="19"/>
      <c r="J686"/>
    </row>
    <row r="687" spans="9:10">
      <c r="I687" s="19"/>
      <c r="J687"/>
    </row>
    <row r="688" spans="9:10">
      <c r="I688" s="19"/>
      <c r="J688"/>
    </row>
    <row r="689" spans="9:10">
      <c r="I689" s="19"/>
      <c r="J689"/>
    </row>
    <row r="690" spans="9:10">
      <c r="I690" s="19"/>
      <c r="J690"/>
    </row>
    <row r="691" spans="9:10">
      <c r="I691" s="19"/>
      <c r="J691"/>
    </row>
    <row r="692" spans="9:10">
      <c r="I692" s="19"/>
      <c r="J692"/>
    </row>
    <row r="693" spans="9:10">
      <c r="I693" s="19"/>
      <c r="J693"/>
    </row>
    <row r="694" spans="9:10">
      <c r="I694" s="19"/>
      <c r="J694"/>
    </row>
    <row r="695" spans="9:10">
      <c r="I695" s="19"/>
      <c r="J695"/>
    </row>
    <row r="696" spans="9:10">
      <c r="I696" s="19"/>
      <c r="J696"/>
    </row>
    <row r="697" spans="9:10">
      <c r="I697" s="19"/>
      <c r="J697"/>
    </row>
    <row r="698" spans="9:10">
      <c r="I698" s="19"/>
      <c r="J698"/>
    </row>
    <row r="699" spans="9:10">
      <c r="I699" s="19"/>
      <c r="J699"/>
    </row>
    <row r="700" spans="9:10">
      <c r="I700" s="19"/>
      <c r="J700"/>
    </row>
    <row r="701" spans="9:10">
      <c r="I701" s="19"/>
      <c r="J701"/>
    </row>
    <row r="702" spans="9:10">
      <c r="I702" s="19"/>
      <c r="J702"/>
    </row>
    <row r="703" spans="9:10">
      <c r="I703" s="19"/>
      <c r="J703"/>
    </row>
    <row r="704" spans="9:10">
      <c r="I704" s="19"/>
      <c r="J704"/>
    </row>
    <row r="705" spans="9:10">
      <c r="I705" s="19"/>
      <c r="J705"/>
    </row>
    <row r="706" spans="9:10">
      <c r="I706" s="19"/>
      <c r="J706"/>
    </row>
    <row r="707" spans="9:10">
      <c r="I707" s="19"/>
      <c r="J707"/>
    </row>
    <row r="708" spans="9:10">
      <c r="I708" s="19"/>
      <c r="J708"/>
    </row>
    <row r="709" spans="9:10">
      <c r="I709" s="19"/>
      <c r="J709"/>
    </row>
    <row r="710" spans="9:10">
      <c r="I710" s="19"/>
      <c r="J710"/>
    </row>
    <row r="711" spans="9:10">
      <c r="I711" s="19"/>
      <c r="J711"/>
    </row>
    <row r="712" spans="9:10">
      <c r="I712" s="19"/>
      <c r="J712"/>
    </row>
    <row r="713" spans="9:10">
      <c r="I713" s="19"/>
      <c r="J713"/>
    </row>
    <row r="714" spans="9:10">
      <c r="I714" s="19"/>
      <c r="J714"/>
    </row>
    <row r="715" spans="9:10">
      <c r="I715" s="19"/>
      <c r="J715"/>
    </row>
    <row r="716" spans="9:10">
      <c r="I716" s="19"/>
      <c r="J716"/>
    </row>
    <row r="717" spans="9:10">
      <c r="I717" s="19"/>
      <c r="J717"/>
    </row>
    <row r="718" spans="9:10">
      <c r="I718" s="19"/>
      <c r="J718"/>
    </row>
    <row r="719" spans="9:10">
      <c r="I719" s="19"/>
      <c r="J719"/>
    </row>
    <row r="720" spans="9:10">
      <c r="I720" s="19"/>
      <c r="J720"/>
    </row>
    <row r="721" spans="9:10">
      <c r="I721" s="19"/>
      <c r="J721"/>
    </row>
    <row r="722" spans="9:10">
      <c r="I722" s="19"/>
      <c r="J722"/>
    </row>
    <row r="723" spans="9:10">
      <c r="I723" s="19"/>
      <c r="J723"/>
    </row>
    <row r="724" spans="9:10">
      <c r="I724" s="19"/>
      <c r="J724"/>
    </row>
    <row r="725" spans="9:10">
      <c r="I725" s="19"/>
      <c r="J725"/>
    </row>
    <row r="726" spans="9:10">
      <c r="I726" s="19"/>
      <c r="J726"/>
    </row>
    <row r="727" spans="9:10">
      <c r="I727" s="19"/>
      <c r="J727"/>
    </row>
    <row r="728" spans="9:10">
      <c r="I728" s="19"/>
      <c r="J728"/>
    </row>
    <row r="729" spans="9:10">
      <c r="I729" s="19"/>
      <c r="J729"/>
    </row>
    <row r="730" spans="9:10">
      <c r="I730" s="19"/>
      <c r="J730"/>
    </row>
    <row r="731" spans="9:10">
      <c r="I731" s="19"/>
      <c r="J731"/>
    </row>
    <row r="732" spans="9:10">
      <c r="I732" s="19"/>
      <c r="J732"/>
    </row>
    <row r="733" spans="9:10">
      <c r="I733" s="19"/>
      <c r="J733"/>
    </row>
    <row r="734" spans="9:10">
      <c r="I734" s="19"/>
      <c r="J734"/>
    </row>
    <row r="735" spans="9:10">
      <c r="I735" s="19"/>
      <c r="J735"/>
    </row>
    <row r="736" spans="9:10">
      <c r="I736" s="19"/>
      <c r="J736"/>
    </row>
    <row r="737" spans="9:10">
      <c r="I737" s="19"/>
      <c r="J737"/>
    </row>
    <row r="738" spans="9:10">
      <c r="I738" s="19"/>
      <c r="J738"/>
    </row>
    <row r="739" spans="9:10">
      <c r="I739" s="19"/>
      <c r="J739"/>
    </row>
    <row r="740" spans="9:10">
      <c r="I740" s="19"/>
      <c r="J740"/>
    </row>
    <row r="741" spans="9:10">
      <c r="I741" s="19"/>
      <c r="J741"/>
    </row>
    <row r="742" spans="9:10">
      <c r="I742" s="19"/>
      <c r="J742"/>
    </row>
    <row r="743" spans="9:10">
      <c r="I743" s="19"/>
      <c r="J743"/>
    </row>
    <row r="744" spans="9:10">
      <c r="I744" s="19"/>
      <c r="J744"/>
    </row>
    <row r="745" spans="9:10">
      <c r="I745" s="19"/>
      <c r="J745"/>
    </row>
    <row r="746" spans="9:10">
      <c r="I746" s="19"/>
      <c r="J746"/>
    </row>
    <row r="747" spans="9:10">
      <c r="I747" s="19"/>
      <c r="J747"/>
    </row>
    <row r="748" spans="9:10">
      <c r="I748" s="19"/>
      <c r="J748"/>
    </row>
    <row r="749" spans="9:10">
      <c r="I749" s="19"/>
      <c r="J749"/>
    </row>
    <row r="750" spans="9:10">
      <c r="I750" s="19"/>
      <c r="J750"/>
    </row>
    <row r="751" spans="9:10">
      <c r="I751" s="19"/>
      <c r="J751"/>
    </row>
    <row r="752" spans="9:10">
      <c r="I752" s="19"/>
      <c r="J752"/>
    </row>
    <row r="753" spans="9:10">
      <c r="I753" s="19"/>
      <c r="J753"/>
    </row>
    <row r="754" spans="9:10">
      <c r="I754" s="19"/>
      <c r="J754"/>
    </row>
    <row r="755" spans="9:10">
      <c r="I755" s="19"/>
      <c r="J755"/>
    </row>
    <row r="756" spans="9:10">
      <c r="I756" s="19"/>
      <c r="J756"/>
    </row>
    <row r="757" spans="9:10">
      <c r="I757" s="19"/>
      <c r="J757"/>
    </row>
    <row r="758" spans="9:10">
      <c r="I758" s="19"/>
      <c r="J758"/>
    </row>
    <row r="759" spans="9:10">
      <c r="I759" s="19"/>
      <c r="J759"/>
    </row>
    <row r="760" spans="9:10">
      <c r="I760" s="19"/>
      <c r="J760"/>
    </row>
    <row r="761" spans="9:10">
      <c r="I761" s="19"/>
      <c r="J761"/>
    </row>
    <row r="762" spans="9:10">
      <c r="I762" s="19"/>
      <c r="J762"/>
    </row>
    <row r="763" spans="9:10">
      <c r="I763" s="19"/>
      <c r="J763"/>
    </row>
    <row r="764" spans="9:10">
      <c r="I764" s="19"/>
      <c r="J764"/>
    </row>
    <row r="765" spans="9:10">
      <c r="I765" s="19"/>
      <c r="J765"/>
    </row>
    <row r="766" spans="9:10">
      <c r="I766" s="19"/>
      <c r="J766"/>
    </row>
    <row r="767" spans="9:10">
      <c r="I767" s="19"/>
      <c r="J767"/>
    </row>
    <row r="768" spans="9:10">
      <c r="I768" s="19"/>
      <c r="J768"/>
    </row>
    <row r="769" spans="9:10">
      <c r="I769" s="19"/>
      <c r="J769"/>
    </row>
    <row r="770" spans="9:10">
      <c r="I770" s="19"/>
      <c r="J770"/>
    </row>
    <row r="771" spans="9:10">
      <c r="I771" s="19"/>
      <c r="J771"/>
    </row>
    <row r="772" spans="9:10">
      <c r="I772" s="19"/>
      <c r="J772"/>
    </row>
    <row r="773" spans="9:10">
      <c r="I773" s="19"/>
      <c r="J773"/>
    </row>
    <row r="774" spans="9:10">
      <c r="I774" s="19"/>
      <c r="J774"/>
    </row>
    <row r="775" spans="9:10">
      <c r="I775" s="19"/>
      <c r="J775"/>
    </row>
    <row r="776" spans="9:10">
      <c r="I776" s="19"/>
      <c r="J776"/>
    </row>
    <row r="777" spans="9:10">
      <c r="I777" s="19"/>
      <c r="J777"/>
    </row>
    <row r="778" spans="9:10">
      <c r="I778" s="19"/>
      <c r="J778"/>
    </row>
    <row r="779" spans="9:10">
      <c r="I779" s="19"/>
      <c r="J779"/>
    </row>
    <row r="780" spans="9:10">
      <c r="I780" s="19"/>
      <c r="J780"/>
    </row>
    <row r="781" spans="9:10">
      <c r="I781" s="19"/>
      <c r="J781"/>
    </row>
    <row r="782" spans="9:10">
      <c r="I782" s="19"/>
      <c r="J782"/>
    </row>
    <row r="783" spans="9:10">
      <c r="I783" s="19"/>
      <c r="J783"/>
    </row>
    <row r="784" spans="9:10">
      <c r="I784" s="19"/>
      <c r="J784"/>
    </row>
    <row r="785" spans="9:10">
      <c r="I785" s="19"/>
      <c r="J785"/>
    </row>
    <row r="786" spans="9:10">
      <c r="I786" s="19"/>
      <c r="J786"/>
    </row>
    <row r="787" spans="9:10">
      <c r="I787" s="19"/>
      <c r="J787"/>
    </row>
    <row r="788" spans="9:10">
      <c r="I788" s="19"/>
      <c r="J788"/>
    </row>
    <row r="789" spans="9:10">
      <c r="I789" s="19"/>
      <c r="J789"/>
    </row>
    <row r="790" spans="9:10">
      <c r="I790" s="19"/>
      <c r="J790"/>
    </row>
    <row r="791" spans="9:10">
      <c r="I791" s="19"/>
      <c r="J791"/>
    </row>
    <row r="792" spans="9:10">
      <c r="I792" s="19"/>
      <c r="J792"/>
    </row>
    <row r="793" spans="9:10">
      <c r="I793" s="19"/>
      <c r="J793"/>
    </row>
    <row r="794" spans="9:10">
      <c r="I794" s="19"/>
      <c r="J794"/>
    </row>
    <row r="795" spans="9:10">
      <c r="I795" s="19"/>
      <c r="J795"/>
    </row>
    <row r="796" spans="9:10">
      <c r="I796" s="19"/>
      <c r="J796"/>
    </row>
    <row r="797" spans="9:10">
      <c r="I797" s="19"/>
      <c r="J797"/>
    </row>
    <row r="798" spans="9:10">
      <c r="I798" s="19"/>
      <c r="J798"/>
    </row>
    <row r="799" spans="9:10">
      <c r="I799" s="19"/>
      <c r="J799"/>
    </row>
    <row r="800" spans="9:10">
      <c r="I800" s="19"/>
      <c r="J800"/>
    </row>
    <row r="801" spans="9:10">
      <c r="I801" s="19"/>
      <c r="J801"/>
    </row>
    <row r="802" spans="9:10">
      <c r="I802" s="19"/>
      <c r="J802"/>
    </row>
    <row r="803" spans="9:10">
      <c r="I803" s="19"/>
      <c r="J803"/>
    </row>
    <row r="804" spans="9:10">
      <c r="I804" s="19"/>
      <c r="J804"/>
    </row>
    <row r="805" spans="9:10">
      <c r="I805" s="19"/>
      <c r="J805"/>
    </row>
    <row r="806" spans="9:10">
      <c r="I806" s="19"/>
      <c r="J806"/>
    </row>
    <row r="807" spans="9:10">
      <c r="I807" s="19"/>
      <c r="J807"/>
    </row>
    <row r="808" spans="9:10">
      <c r="I808" s="19"/>
      <c r="J808"/>
    </row>
    <row r="809" spans="9:10">
      <c r="I809" s="19"/>
      <c r="J809"/>
    </row>
    <row r="810" spans="9:10">
      <c r="I810" s="19"/>
      <c r="J810"/>
    </row>
    <row r="811" spans="9:10">
      <c r="I811" s="19"/>
      <c r="J811"/>
    </row>
    <row r="812" spans="9:10">
      <c r="I812" s="19"/>
      <c r="J812"/>
    </row>
    <row r="813" spans="9:10">
      <c r="I813" s="19"/>
      <c r="J813"/>
    </row>
    <row r="814" spans="9:10">
      <c r="I814" s="19"/>
      <c r="J814"/>
    </row>
    <row r="815" spans="9:10">
      <c r="I815" s="19"/>
      <c r="J815"/>
    </row>
    <row r="816" spans="9:10">
      <c r="I816" s="19"/>
      <c r="J816"/>
    </row>
    <row r="817" spans="9:10">
      <c r="I817" s="19"/>
      <c r="J817"/>
    </row>
    <row r="818" spans="9:10">
      <c r="I818" s="19"/>
      <c r="J818"/>
    </row>
    <row r="819" spans="9:10">
      <c r="I819" s="19"/>
      <c r="J819"/>
    </row>
    <row r="820" spans="9:10">
      <c r="I820" s="19"/>
      <c r="J820"/>
    </row>
    <row r="821" spans="9:10">
      <c r="I821" s="19"/>
      <c r="J821"/>
    </row>
    <row r="822" spans="9:10">
      <c r="I822" s="19"/>
      <c r="J822"/>
    </row>
    <row r="823" spans="9:10">
      <c r="I823" s="19"/>
      <c r="J823"/>
    </row>
    <row r="824" spans="9:10">
      <c r="I824" s="19"/>
      <c r="J824"/>
    </row>
    <row r="825" spans="9:10">
      <c r="I825" s="19"/>
      <c r="J825"/>
    </row>
    <row r="826" spans="9:10">
      <c r="I826" s="19"/>
      <c r="J826"/>
    </row>
    <row r="827" spans="9:10">
      <c r="I827" s="19"/>
      <c r="J827"/>
    </row>
    <row r="828" spans="9:10">
      <c r="I828" s="19"/>
      <c r="J828"/>
    </row>
    <row r="829" spans="9:10">
      <c r="I829" s="19"/>
      <c r="J829"/>
    </row>
    <row r="830" spans="9:10">
      <c r="I830" s="19"/>
      <c r="J830"/>
    </row>
    <row r="831" spans="9:10">
      <c r="I831" s="19"/>
      <c r="J831"/>
    </row>
    <row r="832" spans="9:10">
      <c r="I832" s="19"/>
      <c r="J832"/>
    </row>
    <row r="833" spans="9:10">
      <c r="I833" s="19"/>
      <c r="J833"/>
    </row>
    <row r="834" spans="9:10">
      <c r="I834" s="19"/>
      <c r="J834"/>
    </row>
    <row r="835" spans="9:10">
      <c r="I835" s="19"/>
      <c r="J835"/>
    </row>
    <row r="836" spans="9:10">
      <c r="I836" s="19"/>
      <c r="J836"/>
    </row>
    <row r="837" spans="9:10">
      <c r="I837" s="19"/>
      <c r="J837"/>
    </row>
    <row r="838" spans="9:10">
      <c r="I838" s="19"/>
      <c r="J838"/>
    </row>
    <row r="839" spans="9:10">
      <c r="I839" s="19"/>
      <c r="J839"/>
    </row>
    <row r="840" spans="9:10">
      <c r="I840" s="19"/>
      <c r="J840"/>
    </row>
    <row r="841" spans="9:10">
      <c r="I841" s="19"/>
      <c r="J841"/>
    </row>
    <row r="842" spans="9:10">
      <c r="I842" s="19"/>
      <c r="J842"/>
    </row>
    <row r="843" spans="9:10">
      <c r="I843" s="19"/>
      <c r="J843"/>
    </row>
    <row r="844" spans="9:10">
      <c r="I844" s="19"/>
      <c r="J844"/>
    </row>
    <row r="845" spans="9:10">
      <c r="I845" s="19"/>
      <c r="J845"/>
    </row>
    <row r="846" spans="9:10">
      <c r="I846" s="19"/>
      <c r="J846"/>
    </row>
    <row r="847" spans="9:10">
      <c r="I847" s="19"/>
      <c r="J847"/>
    </row>
    <row r="848" spans="9:10">
      <c r="I848" s="19"/>
      <c r="J848"/>
    </row>
    <row r="849" spans="9:10">
      <c r="I849" s="19"/>
      <c r="J849"/>
    </row>
    <row r="850" spans="9:10">
      <c r="I850" s="19"/>
      <c r="J850"/>
    </row>
    <row r="851" spans="9:10">
      <c r="I851" s="19"/>
      <c r="J851"/>
    </row>
    <row r="852" spans="9:10">
      <c r="I852" s="19"/>
      <c r="J852"/>
    </row>
    <row r="853" spans="9:10">
      <c r="I853" s="19"/>
      <c r="J853"/>
    </row>
    <row r="854" spans="9:10">
      <c r="I854" s="19"/>
      <c r="J854"/>
    </row>
    <row r="855" spans="9:10">
      <c r="I855" s="19"/>
      <c r="J855"/>
    </row>
    <row r="856" spans="9:10">
      <c r="I856" s="19"/>
      <c r="J856"/>
    </row>
    <row r="857" spans="9:10">
      <c r="I857" s="19"/>
      <c r="J857"/>
    </row>
    <row r="858" spans="9:10">
      <c r="I858" s="19"/>
      <c r="J858"/>
    </row>
    <row r="859" spans="9:10">
      <c r="I859" s="19"/>
      <c r="J859"/>
    </row>
    <row r="860" spans="9:10">
      <c r="I860" s="19"/>
      <c r="J860"/>
    </row>
    <row r="861" spans="9:10">
      <c r="I861" s="19"/>
      <c r="J861"/>
    </row>
    <row r="862" spans="9:10">
      <c r="I862" s="19"/>
      <c r="J862"/>
    </row>
    <row r="863" spans="9:10">
      <c r="I863" s="19"/>
      <c r="J863"/>
    </row>
    <row r="864" spans="9:10">
      <c r="I864" s="19"/>
      <c r="J864"/>
    </row>
    <row r="865" spans="9:10">
      <c r="I865" s="19"/>
      <c r="J865"/>
    </row>
    <row r="866" spans="9:10">
      <c r="I866" s="19"/>
      <c r="J866"/>
    </row>
    <row r="867" spans="9:10">
      <c r="I867" s="19"/>
      <c r="J867"/>
    </row>
    <row r="868" spans="9:10">
      <c r="I868" s="19"/>
      <c r="J868"/>
    </row>
    <row r="869" spans="9:10">
      <c r="I869" s="19"/>
      <c r="J869"/>
    </row>
    <row r="870" spans="9:10">
      <c r="I870" s="19"/>
      <c r="J870"/>
    </row>
    <row r="871" spans="9:10">
      <c r="I871" s="19"/>
      <c r="J871"/>
    </row>
    <row r="872" spans="9:10">
      <c r="I872" s="19"/>
      <c r="J872"/>
    </row>
    <row r="873" spans="9:10">
      <c r="I873" s="19"/>
      <c r="J873"/>
    </row>
    <row r="874" spans="9:10">
      <c r="I874" s="19"/>
      <c r="J874"/>
    </row>
    <row r="875" spans="9:10">
      <c r="I875" s="19"/>
      <c r="J875"/>
    </row>
    <row r="876" spans="9:10">
      <c r="I876" s="19"/>
      <c r="J876"/>
    </row>
    <row r="877" spans="9:10">
      <c r="I877" s="19"/>
      <c r="J877"/>
    </row>
    <row r="878" spans="9:10">
      <c r="I878" s="19"/>
      <c r="J878"/>
    </row>
    <row r="879" spans="9:10">
      <c r="I879" s="19"/>
      <c r="J879"/>
    </row>
    <row r="880" spans="9:10">
      <c r="I880" s="19"/>
      <c r="J880"/>
    </row>
    <row r="881" spans="9:10">
      <c r="I881" s="19"/>
      <c r="J881"/>
    </row>
    <row r="882" spans="9:10">
      <c r="I882" s="19"/>
      <c r="J882"/>
    </row>
    <row r="883" spans="9:10">
      <c r="I883" s="19"/>
      <c r="J883"/>
    </row>
    <row r="884" spans="9:10">
      <c r="I884" s="19"/>
      <c r="J884"/>
    </row>
    <row r="885" spans="9:10">
      <c r="I885" s="19"/>
      <c r="J885"/>
    </row>
    <row r="886" spans="9:10">
      <c r="I886" s="19"/>
      <c r="J886"/>
    </row>
    <row r="887" spans="9:10">
      <c r="I887" s="19"/>
      <c r="J887"/>
    </row>
    <row r="888" spans="9:10">
      <c r="I888" s="19"/>
      <c r="J888"/>
    </row>
    <row r="889" spans="9:10">
      <c r="I889" s="19"/>
      <c r="J889"/>
    </row>
    <row r="890" spans="9:10">
      <c r="I890" s="19"/>
      <c r="J890"/>
    </row>
    <row r="891" spans="9:10">
      <c r="I891" s="19"/>
      <c r="J891"/>
    </row>
    <row r="892" spans="9:10">
      <c r="I892" s="19"/>
      <c r="J892"/>
    </row>
    <row r="893" spans="9:10">
      <c r="I893" s="19"/>
      <c r="J893"/>
    </row>
    <row r="894" spans="9:10">
      <c r="I894" s="19"/>
      <c r="J894"/>
    </row>
    <row r="895" spans="9:10">
      <c r="I895" s="19"/>
      <c r="J895"/>
    </row>
    <row r="896" spans="9:10">
      <c r="I896" s="19"/>
      <c r="J896"/>
    </row>
    <row r="897" spans="9:10">
      <c r="I897" s="19"/>
      <c r="J897"/>
    </row>
    <row r="898" spans="9:10">
      <c r="I898" s="19"/>
      <c r="J898"/>
    </row>
    <row r="899" spans="9:10">
      <c r="I899" s="19"/>
      <c r="J899"/>
    </row>
    <row r="900" spans="9:10">
      <c r="I900" s="19"/>
      <c r="J900"/>
    </row>
    <row r="901" spans="9:10">
      <c r="I901" s="19"/>
      <c r="J901"/>
    </row>
    <row r="902" spans="9:10">
      <c r="I902" s="19"/>
      <c r="J902"/>
    </row>
    <row r="903" spans="9:10">
      <c r="I903" s="19"/>
      <c r="J903"/>
    </row>
    <row r="904" spans="9:10">
      <c r="I904" s="19"/>
      <c r="J904"/>
    </row>
    <row r="905" spans="9:10">
      <c r="I905" s="19"/>
      <c r="J905"/>
    </row>
    <row r="906" spans="9:10">
      <c r="I906" s="19"/>
      <c r="J906"/>
    </row>
    <row r="907" spans="9:10">
      <c r="I907" s="19"/>
      <c r="J907"/>
    </row>
    <row r="908" spans="9:10">
      <c r="I908" s="19"/>
      <c r="J908"/>
    </row>
    <row r="909" spans="9:10">
      <c r="I909" s="19"/>
      <c r="J909"/>
    </row>
    <row r="910" spans="9:10">
      <c r="I910" s="19"/>
      <c r="J910"/>
    </row>
    <row r="911" spans="9:10">
      <c r="I911" s="19"/>
      <c r="J911"/>
    </row>
    <row r="912" spans="9:10">
      <c r="I912" s="19"/>
      <c r="J912"/>
    </row>
    <row r="913" spans="9:10">
      <c r="I913" s="19"/>
      <c r="J913"/>
    </row>
    <row r="914" spans="9:10">
      <c r="I914" s="19"/>
      <c r="J914"/>
    </row>
    <row r="915" spans="9:10">
      <c r="I915" s="19"/>
      <c r="J915"/>
    </row>
    <row r="916" spans="9:10">
      <c r="I916" s="19"/>
      <c r="J916"/>
    </row>
    <row r="917" spans="9:10">
      <c r="I917" s="19"/>
      <c r="J917"/>
    </row>
    <row r="918" spans="9:10">
      <c r="I918" s="19"/>
      <c r="J918"/>
    </row>
    <row r="919" spans="9:10">
      <c r="I919" s="19"/>
      <c r="J919"/>
    </row>
    <row r="920" spans="9:10">
      <c r="I920" s="19"/>
      <c r="J920"/>
    </row>
    <row r="921" spans="9:10">
      <c r="I921" s="19"/>
      <c r="J921"/>
    </row>
    <row r="922" spans="9:10">
      <c r="I922" s="19"/>
      <c r="J922"/>
    </row>
    <row r="923" spans="9:10">
      <c r="I923" s="19"/>
      <c r="J923"/>
    </row>
    <row r="924" spans="9:10">
      <c r="I924" s="19"/>
      <c r="J924"/>
    </row>
    <row r="925" spans="9:10">
      <c r="I925" s="19"/>
      <c r="J925"/>
    </row>
    <row r="926" spans="9:10">
      <c r="I926" s="19"/>
      <c r="J926"/>
    </row>
    <row r="927" spans="9:10">
      <c r="I927" s="19"/>
      <c r="J927"/>
    </row>
    <row r="928" spans="9:10">
      <c r="I928" s="19"/>
      <c r="J928"/>
    </row>
    <row r="929" spans="9:10">
      <c r="I929" s="19"/>
      <c r="J929"/>
    </row>
    <row r="930" spans="9:10">
      <c r="I930" s="19"/>
      <c r="J930"/>
    </row>
    <row r="931" spans="9:10">
      <c r="I931" s="19"/>
      <c r="J931"/>
    </row>
    <row r="932" spans="9:10">
      <c r="I932" s="19"/>
      <c r="J932"/>
    </row>
    <row r="933" spans="9:10">
      <c r="I933" s="19"/>
      <c r="J933"/>
    </row>
    <row r="934" spans="9:10">
      <c r="I934" s="19"/>
      <c r="J934"/>
    </row>
    <row r="935" spans="9:10">
      <c r="I935" s="19"/>
      <c r="J935"/>
    </row>
    <row r="936" spans="9:10">
      <c r="I936" s="19"/>
      <c r="J936"/>
    </row>
    <row r="937" spans="9:10">
      <c r="I937" s="19"/>
      <c r="J937"/>
    </row>
    <row r="938" spans="9:10">
      <c r="I938" s="19"/>
      <c r="J938"/>
    </row>
    <row r="939" spans="9:10">
      <c r="I939" s="19"/>
      <c r="J939"/>
    </row>
  </sheetData>
  <mergeCells count="100">
    <mergeCell ref="A79:B79"/>
    <mergeCell ref="G79:I79"/>
    <mergeCell ref="A93:B93"/>
    <mergeCell ref="D109:F109"/>
    <mergeCell ref="D110:F110"/>
    <mergeCell ref="D112:F112"/>
    <mergeCell ref="D105:F105"/>
    <mergeCell ref="D106:F106"/>
    <mergeCell ref="D108:F108"/>
    <mergeCell ref="D107:F107"/>
    <mergeCell ref="D24:F24"/>
    <mergeCell ref="D26:F26"/>
    <mergeCell ref="D27:F27"/>
    <mergeCell ref="D28:F28"/>
    <mergeCell ref="D111:F111"/>
    <mergeCell ref="D57:F57"/>
    <mergeCell ref="D56:F56"/>
    <mergeCell ref="D36:F36"/>
    <mergeCell ref="D92:F92"/>
    <mergeCell ref="D25:F25"/>
    <mergeCell ref="D78:F78"/>
    <mergeCell ref="D93:F93"/>
    <mergeCell ref="D58:F58"/>
    <mergeCell ref="D59:F59"/>
    <mergeCell ref="D60:F60"/>
    <mergeCell ref="D61:F61"/>
    <mergeCell ref="D62:F62"/>
    <mergeCell ref="D63:F63"/>
    <mergeCell ref="D64:F64"/>
    <mergeCell ref="D65:F65"/>
    <mergeCell ref="D13:F13"/>
    <mergeCell ref="D14:F14"/>
    <mergeCell ref="D15:F15"/>
    <mergeCell ref="D18:F18"/>
    <mergeCell ref="D16:F16"/>
    <mergeCell ref="D17:F17"/>
    <mergeCell ref="A55:J55"/>
    <mergeCell ref="D79:F79"/>
    <mergeCell ref="D91:F91"/>
    <mergeCell ref="A21:C21"/>
    <mergeCell ref="D22:F22"/>
    <mergeCell ref="D29:F29"/>
    <mergeCell ref="D42:F42"/>
    <mergeCell ref="A41:J41"/>
    <mergeCell ref="D30:F30"/>
    <mergeCell ref="D31:F31"/>
    <mergeCell ref="D32:F32"/>
    <mergeCell ref="D33:F33"/>
    <mergeCell ref="D74:F74"/>
    <mergeCell ref="D76:F76"/>
    <mergeCell ref="D40:F40"/>
    <mergeCell ref="D34:F34"/>
    <mergeCell ref="B1:D2"/>
    <mergeCell ref="A8:D8"/>
    <mergeCell ref="B5:D5"/>
    <mergeCell ref="A12:J12"/>
    <mergeCell ref="H5:J5"/>
    <mergeCell ref="H6:J6"/>
    <mergeCell ref="H7:J7"/>
    <mergeCell ref="B3:D3"/>
    <mergeCell ref="H4:J4"/>
    <mergeCell ref="J9:J10"/>
    <mergeCell ref="H3:J3"/>
    <mergeCell ref="B4:D4"/>
    <mergeCell ref="H9:H10"/>
    <mergeCell ref="A11:J11"/>
    <mergeCell ref="I9:I10"/>
    <mergeCell ref="A9:A10"/>
    <mergeCell ref="D54:F54"/>
    <mergeCell ref="D53:F53"/>
    <mergeCell ref="B9:B10"/>
    <mergeCell ref="C9:C10"/>
    <mergeCell ref="D9:G10"/>
    <mergeCell ref="D48:F48"/>
    <mergeCell ref="D45:F45"/>
    <mergeCell ref="D44:F44"/>
    <mergeCell ref="D43:F43"/>
    <mergeCell ref="D37:F37"/>
    <mergeCell ref="D23:F23"/>
    <mergeCell ref="D35:F35"/>
    <mergeCell ref="D38:F38"/>
    <mergeCell ref="D39:F39"/>
    <mergeCell ref="D19:F19"/>
    <mergeCell ref="D20:F20"/>
    <mergeCell ref="D75:F75"/>
    <mergeCell ref="D77:F77"/>
    <mergeCell ref="D46:F46"/>
    <mergeCell ref="D47:F47"/>
    <mergeCell ref="A73:J73"/>
    <mergeCell ref="D66:F66"/>
    <mergeCell ref="D67:F67"/>
    <mergeCell ref="D68:F68"/>
    <mergeCell ref="D69:F69"/>
    <mergeCell ref="D70:F70"/>
    <mergeCell ref="D71:F71"/>
    <mergeCell ref="D72:F72"/>
    <mergeCell ref="D49:F49"/>
    <mergeCell ref="D50:F50"/>
    <mergeCell ref="D52:F52"/>
    <mergeCell ref="D51:F51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4" sqref="C4"/>
    </sheetView>
  </sheetViews>
  <sheetFormatPr defaultRowHeight="13.2"/>
  <cols>
    <col min="3" max="3" width="22.88671875" customWidth="1"/>
    <col min="7" max="7" width="18.88671875" customWidth="1"/>
  </cols>
  <sheetData>
    <row r="1" spans="1:7" ht="22.2">
      <c r="A1" s="15" t="s">
        <v>251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3.8">
      <c r="B3" s="19" t="s">
        <v>252</v>
      </c>
      <c r="C3" s="17"/>
      <c r="D3" s="17"/>
      <c r="E3" s="17"/>
      <c r="F3" s="17"/>
      <c r="G3" s="18"/>
    </row>
    <row r="4" spans="1:7" ht="13.8">
      <c r="B4" s="19" t="s">
        <v>253</v>
      </c>
      <c r="C4" s="103"/>
      <c r="D4" s="19"/>
      <c r="E4" s="19"/>
      <c r="F4" s="19"/>
      <c r="G4" s="19"/>
    </row>
    <row r="5" spans="1:7" ht="13.8">
      <c r="A5" s="19"/>
      <c r="B5" s="19"/>
      <c r="C5" s="19"/>
      <c r="D5" s="19"/>
      <c r="E5" s="19"/>
      <c r="F5" s="19"/>
      <c r="G5" s="19"/>
    </row>
    <row r="6" spans="1:7" ht="13.8">
      <c r="A6" s="19"/>
      <c r="B6" s="19"/>
      <c r="C6" s="19"/>
      <c r="D6" s="19"/>
      <c r="E6" s="19"/>
      <c r="F6" s="19"/>
      <c r="G6" s="19"/>
    </row>
    <row r="7" spans="1:7" ht="26.4">
      <c r="A7" s="19"/>
      <c r="B7" s="53" t="s">
        <v>254</v>
      </c>
      <c r="C7" s="54" t="s">
        <v>255</v>
      </c>
      <c r="D7" s="55" t="s">
        <v>29</v>
      </c>
      <c r="E7" s="54" t="s">
        <v>31</v>
      </c>
      <c r="F7" s="54" t="s">
        <v>30</v>
      </c>
      <c r="G7" s="56" t="s">
        <v>256</v>
      </c>
    </row>
    <row r="8" spans="1:7" s="65" customFormat="1" ht="13.8">
      <c r="A8" s="69"/>
      <c r="B8" s="70">
        <v>1</v>
      </c>
      <c r="C8" s="71" t="str">
        <f>'Export all carrier choices'!B4</f>
        <v>CR100 - Export to excel</v>
      </c>
      <c r="D8" s="72">
        <f>'Export all carrier choices'!B6</f>
        <v>20</v>
      </c>
      <c r="E8" s="71">
        <f>'Export all carrier choices'!B7</f>
        <v>11</v>
      </c>
      <c r="F8" s="71">
        <f>'Export all carrier choices'!D6</f>
        <v>0</v>
      </c>
      <c r="G8" s="72">
        <f ca="1">'Export all carrier choices'!D7</f>
        <v>70</v>
      </c>
    </row>
    <row r="9" spans="1:7" ht="13.8">
      <c r="A9" s="19"/>
      <c r="B9" s="32"/>
      <c r="C9" s="31"/>
      <c r="D9" s="74"/>
      <c r="E9" s="30"/>
      <c r="F9" s="30"/>
      <c r="G9" s="33"/>
    </row>
    <row r="10" spans="1:7" ht="13.8">
      <c r="A10" s="19"/>
      <c r="B10" s="57"/>
      <c r="C10" s="58" t="s">
        <v>257</v>
      </c>
      <c r="D10" s="59">
        <f>SUM(D6:D9)</f>
        <v>20</v>
      </c>
      <c r="E10" s="59">
        <f>SUM(E6:E9)</f>
        <v>11</v>
      </c>
      <c r="F10" s="59">
        <f>SUM(F6:F9)</f>
        <v>0</v>
      </c>
      <c r="G10" s="60">
        <f ca="1">SUM(G6:G9)</f>
        <v>70</v>
      </c>
    </row>
    <row r="11" spans="1:7" ht="13.8">
      <c r="A11" s="19"/>
      <c r="B11" s="20"/>
      <c r="C11" s="19"/>
      <c r="D11" s="21"/>
      <c r="E11" s="22"/>
      <c r="F11" s="22"/>
      <c r="G11" s="22"/>
    </row>
    <row r="12" spans="1:7" ht="13.8">
      <c r="A12" s="19"/>
      <c r="B12" s="19"/>
      <c r="C12" s="19" t="s">
        <v>258</v>
      </c>
      <c r="D12" s="19"/>
      <c r="E12" s="23">
        <f ca="1">(D10+E10)*100/G10</f>
        <v>35.593220338983052</v>
      </c>
      <c r="F12" s="19" t="s">
        <v>259</v>
      </c>
      <c r="G12" s="24"/>
    </row>
    <row r="13" spans="1:7" ht="13.8">
      <c r="A13" s="19"/>
      <c r="B13" s="19"/>
      <c r="C13" s="19" t="s">
        <v>260</v>
      </c>
      <c r="D13" s="19"/>
      <c r="E13" s="23">
        <f ca="1">D10*100/G10</f>
        <v>28.571428571428573</v>
      </c>
      <c r="F13" s="19" t="s">
        <v>259</v>
      </c>
      <c r="G13" s="24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Export all carrier choices</vt:lpstr>
      <vt:lpstr>Test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Test Case</dc:subject>
  <dc:creator>Vadim V. Bobrenok</dc:creator>
  <cp:keywords/>
  <dc:description>v1.2</dc:description>
  <cp:lastModifiedBy>Administrator</cp:lastModifiedBy>
  <cp:revision/>
  <dcterms:created xsi:type="dcterms:W3CDTF">2002-07-27T17:17:25Z</dcterms:created>
  <dcterms:modified xsi:type="dcterms:W3CDTF">2025-06-17T12:48:51Z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